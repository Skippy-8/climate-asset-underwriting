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827AEB2C-6F9C-854A-902F-E246F786348D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over" sheetId="1" r:id="rId1"/>
    <sheet name="Summary" sheetId="2" r:id="rId2"/>
    <sheet name="Inputs" sheetId="3" r:id="rId3"/>
    <sheet name="Sources" sheetId="4" r:id="rId4"/>
    <sheet name="Capex_SU" sheetId="5" r:id="rId5"/>
    <sheet name="Generation" sheetId="6" r:id="rId6"/>
    <sheet name="Revenue" sheetId="7" r:id="rId7"/>
    <sheet name="Opex" sheetId="8" r:id="rId8"/>
    <sheet name="CFADS" sheetId="9" r:id="rId9"/>
    <sheet name="Debt_Sculpt" sheetId="10" r:id="rId10"/>
    <sheet name="Ratios" sheetId="11" r:id="rId11"/>
    <sheet name="Tax" sheetId="12" r:id="rId12"/>
    <sheet name="Returns" sheetId="13" r:id="rId13"/>
    <sheet name="Scenarios" sheetId="14" r:id="rId14"/>
    <sheet name="Checks" sheetId="15" r:id="rId15"/>
  </sheets>
  <definedNames>
    <definedName name="All_Checks">Checks!$C$15</definedName>
    <definedName name="Asset_Mgmt">Inputs!$C$24</definedName>
    <definedName name="Avg_Draw">Inputs!$C$21</definedName>
    <definedName name="Avg_DSCR_Op">Ratios!$C$20</definedName>
    <definedName name="Avg_DSCR_P50">Ratios!$C$16</definedName>
    <definedName name="Avg_DSCR_P90">Ratios!$C$18</definedName>
    <definedName name="BESS_Capex">Capex_SU!$C$10</definedName>
    <definedName name="BESS_Capex_Base">Capex_SU!$C$7</definedName>
    <definedName name="BESS_Capex_Per_kWh">Inputs!$C$18</definedName>
    <definedName name="BESS_FOM_Pct">Inputs!$C$23</definedName>
    <definedName name="BESS_Hours">Inputs!$C$8</definedName>
    <definedName name="BESS_Life">Inputs!$C$10</definedName>
    <definedName name="BESS_MW">Inputs!$C$7</definedName>
    <definedName name="BESS_MWh">Capex_SU!$C$6</definedName>
    <definedName name="Capex_Overrun">Inputs!$C$56</definedName>
    <definedName name="Capex_Per_tCO2e">Returns!$C$25</definedName>
    <definedName name="Case_Select">Inputs!$C$60</definedName>
    <definedName name="CF_P50">Inputs!$C$11</definedName>
    <definedName name="Check_Debt_PV">Checks!$C$5</definedName>
    <definedName name="Check_DSCR_P50">Checks!$C$9</definedName>
    <definedName name="Check_DSCR_P90">Checks!$C$10</definedName>
    <definedName name="Check_Gearing">Checks!$C$11</definedName>
    <definedName name="Check_IRR">Checks!$C$13</definedName>
    <definedName name="Check_No_Negative">Checks!$C$7</definedName>
    <definedName name="Check_Parity">Checks!$C$8</definedName>
    <definedName name="Check_Repaid">Checks!$C$6</definedName>
    <definedName name="Check_SU">Checks!$C$4</definedName>
    <definedName name="Check_Tenor">Checks!$C$12</definedName>
    <definedName name="Constr_Years">Inputs!$C$20</definedName>
    <definedName name="Curtailment">Inputs!$C$12</definedName>
    <definedName name="Debt">Debt_Sculpt!$C$8</definedName>
    <definedName name="Debt_Capacity_Gearing">Debt_Sculpt!$C$7</definedName>
    <definedName name="Debt_Capacity_Sculpt">Debt_Sculpt!$C$6</definedName>
    <definedName name="Debt_Spread">Inputs!$C$46</definedName>
    <definedName name="Default_Years">Ratios!$C$25</definedName>
    <definedName name="Degradation">Inputs!$C$13</definedName>
    <definedName name="Dep_Basis">Tax!$C$5</definedName>
    <definedName name="Dev_Costs">Capex_SU!$C$12</definedName>
    <definedName name="DSCR_Default_PF">Inputs!$C$52</definedName>
    <definedName name="DSCR_Lockup">Inputs!$C$51</definedName>
    <definedName name="DSCR_P50_Target">Inputs!$C$49</definedName>
    <definedName name="DSCR_P90_Target">Inputs!$C$50</definedName>
    <definedName name="DSRA">Capex_SU!$C$16</definedName>
    <definedName name="DSRA_Months">Inputs!$C$55</definedName>
    <definedName name="Equipment_Capex">Capex_SU!$C$11</definedName>
    <definedName name="Equity">Capex_SU!$C$22</definedName>
    <definedName name="Equity_Hurdle">Inputs!$C$44</definedName>
    <definedName name="Equity_IRR">Returns!$C$13</definedName>
    <definedName name="Equity_IRR_AT">Returns!$C$15</definedName>
    <definedName name="Equity_Multiple">Returns!$C$16</definedName>
    <definedName name="Equity_NPV_At_IRR">Returns!$C$17</definedName>
    <definedName name="Equity_NPV_At_IRR_AT">Returns!$C$18</definedName>
    <definedName name="Fees">Capex_SU!$C$15</definedName>
    <definedName name="Gearing">Debt_Sculpt!$C$10</definedName>
    <definedName name="Gen_Case_Z">Inputs!$C$58</definedName>
    <definedName name="Gen_Sigma_1yr">Inputs!$C$14</definedName>
    <definedName name="Gen_Y1_P50">Returns!$C$21</definedName>
    <definedName name="Grid_CO2e_lb_MWh">Inputs!$C$59</definedName>
    <definedName name="Hours_Per_Year">Inputs!$C$61</definedName>
    <definedName name="IDC">Capex_SU!$C$14</definedName>
    <definedName name="ILR">Inputs!$C$6</definedName>
    <definedName name="ITC_Basis_Reduction">Inputs!$C$43</definedName>
    <definedName name="ITC_BESS">Inputs!$C$34</definedName>
    <definedName name="ITC_Proceeds">Capex_SU!$C$21</definedName>
    <definedName name="ITC_PV">Inputs!$C$33</definedName>
    <definedName name="ITC_Transfer_Price">Inputs!$C$35</definedName>
    <definedName name="kW_per_MW">Inputs!$C$63</definedName>
    <definedName name="kWh_per_MWh">Inputs!$C$65</definedName>
    <definedName name="lb_per_t">Inputs!$C$66</definedName>
    <definedName name="LLCR">Ratios!$C$21</definedName>
    <definedName name="LLCR_Op">Ratios!$C$23</definedName>
    <definedName name="Lockup_Years">Ratios!$C$24</definedName>
    <definedName name="MACRS_Table">Inputs!$C$37:$C$42</definedName>
    <definedName name="MACRS_Y1">Inputs!$C$37</definedName>
    <definedName name="MACRS_Y2">Inputs!$C$38</definedName>
    <definedName name="MACRS_Y3">Inputs!$C$39</definedName>
    <definedName name="MACRS_Y4">Inputs!$C$40</definedName>
    <definedName name="MACRS_Y5">Inputs!$C$41</definedName>
    <definedName name="MACRS_Y6">Inputs!$C$42</definedName>
    <definedName name="Max_Gearing">Inputs!$C$53</definedName>
    <definedName name="Merchant_Escalation">Inputs!$C$30</definedName>
    <definedName name="Merchant_Price">Inputs!$C$29</definedName>
    <definedName name="Merchant_Shock">Inputs!$C$57</definedName>
    <definedName name="Min_DSCR_Op">Ratios!$C$19</definedName>
    <definedName name="Min_DSCR_P50">Ratios!$C$15</definedName>
    <definedName name="Min_DSCR_P90">Ratios!$C$17</definedName>
    <definedName name="Months">Inputs!$C$62</definedName>
    <definedName name="Net_CF_Y1">Returns!$C$22</definedName>
    <definedName name="Op_Gen_Factor">Generation!$C$7</definedName>
    <definedName name="Opex_Escalation">Inputs!$C$25</definedName>
    <definedName name="Owner_Dev_Pct">Inputs!$C$19</definedName>
    <definedName name="P90_Factor">Generation!$C$5</definedName>
    <definedName name="P99_Factor">Generation!$C$6</definedName>
    <definedName name="PLCR">Ratios!$C$22</definedName>
    <definedName name="PPA_Escalator">Inputs!$C$27</definedName>
    <definedName name="PPA_Price">Inputs!$C$26</definedName>
    <definedName name="PPA_Term">Inputs!$C$28</definedName>
    <definedName name="Project_Capex">Capex_SU!$C$13</definedName>
    <definedName name="Project_IRR">Returns!$C$12</definedName>
    <definedName name="Project_IRR_AT">Returns!$C$14</definedName>
    <definedName name="PV_Capex">Capex_SU!$C$9</definedName>
    <definedName name="PV_Capex_Per_Wac">Inputs!$C$17</definedName>
    <definedName name="PV_FOM_Per_kWac">Inputs!$C$22</definedName>
    <definedName name="PV_Life">Inputs!$C$9</definedName>
    <definedName name="PV_MWac">Inputs!$C$5</definedName>
    <definedName name="PV_MWdc">Capex_SU!$C$5</definedName>
    <definedName name="R_Beg_Balance">Debt_Sculpt!$D$15:$AG$15</definedName>
    <definedName name="R_BESS_On">Generation!$D$10:$AG$10</definedName>
    <definedName name="R_CFADS_Op">CFADS!$D$7:$AG$7</definedName>
    <definedName name="R_CFADS_P50">CFADS!$D$5:$AG$5</definedName>
    <definedName name="R_CFADS_P90">CFADS!$D$6:$AG$6</definedName>
    <definedName name="R_Debt_Service">Debt_Sculpt!$D$14:$AG$14</definedName>
    <definedName name="R_Deg_Index">Generation!$D$11:$AG$11</definedName>
    <definedName name="R_Depreciation">Tax!$D$7:$AG$7</definedName>
    <definedName name="R_DS_Target">Debt_Sculpt!$D$13:$AG$13</definedName>
    <definedName name="R_DSCR_Op">Ratios!$D$7:$AG$7</definedName>
    <definedName name="R_DSCR_P50">Ratios!$D$5:$AG$5</definedName>
    <definedName name="R_DSCR_P90">Ratios!$D$6:$AG$6</definedName>
    <definedName name="R_DSRA_Release">Returns!$D$5:$AG$5</definedName>
    <definedName name="R_End_Balance">Debt_Sculpt!$D$18:$AG$18</definedName>
    <definedName name="R_Equity_CF">Returns!$C$8:$AG$8</definedName>
    <definedName name="R_Equity_CF_AT">Returns!$C$10:$AG$10</definedName>
    <definedName name="R_Esc_Index">Opex!$D$5:$AG$5</definedName>
    <definedName name="R_Gen_Op">Generation!$D$14:$AG$14</definedName>
    <definedName name="R_Gen_P50">Generation!$D$12:$AG$12</definedName>
    <definedName name="R_Gen_P90">Generation!$D$13:$AG$13</definedName>
    <definedName name="R_Interest">Debt_Sculpt!$D$16:$AG$16</definedName>
    <definedName name="R_Merchant_Price_Row">Revenue!$D$8:$AG$8</definedName>
    <definedName name="R_Opex">Opex!$D$9:$AG$9</definedName>
    <definedName name="R_Opex_AM">Opex!$D$8:$AG$8</definedName>
    <definedName name="R_Opex_BESS">Opex!$D$7:$AG$7</definedName>
    <definedName name="R_Opex_PV">Opex!$D$6:$AG$6</definedName>
    <definedName name="R_Parity">Ratios!$D$10:$AG$10</definedName>
    <definedName name="R_PPA_On">Revenue!$D$5:$AG$5</definedName>
    <definedName name="R_PPA_Price_Row">Revenue!$D$7:$AG$7</definedName>
    <definedName name="R_Price_Base">Revenue!$D$9:$AG$9</definedName>
    <definedName name="R_Price_Op">Revenue!$D$10:$AG$10</definedName>
    <definedName name="R_Principal">Debt_Sculpt!$D$17:$AG$17</definedName>
    <definedName name="R_Project_CF">Returns!$C$7:$AG$7</definedName>
    <definedName name="R_Project_CF_AT">Returns!$C$9:$AG$9</definedName>
    <definedName name="R_PV_On">Generation!$D$9:$AG$9</definedName>
    <definedName name="R_Rev_BESS">Revenue!$D$15:$AG$15</definedName>
    <definedName name="R_Rev_PV_Op">Revenue!$D$14:$AG$14</definedName>
    <definedName name="R_Rev_PV_P50">Revenue!$D$12:$AG$12</definedName>
    <definedName name="R_Rev_PV_P90">Revenue!$D$13:$AG$13</definedName>
    <definedName name="R_Tax">Tax!$D$9:$AG$9</definedName>
    <definedName name="R_Taxable_Income">Tax!$D$8:$AG$8</definedName>
    <definedName name="R_Tenor_On">Debt_Sculpt!$D$12:$AG$12</definedName>
    <definedName name="R_Toll_On">Revenue!$D$6:$AG$6</definedName>
    <definedName name="Rate">Debt_Sculpt!$C$5</definedName>
    <definedName name="Rate_Shock">Inputs!$C$47</definedName>
    <definedName name="Sculpt_Scale">Debt_Sculpt!$C$9</definedName>
    <definedName name="Snap_Avg_DSCR_Op">Scenarios!$B$20:$D$20</definedName>
    <definedName name="Snap_Debt">Scenarios!$B$18:$D$18</definedName>
    <definedName name="Snap_Default_Years">Scenarios!$B$23:$D$23</definedName>
    <definedName name="Snap_Equity">Scenarios!$B$24:$D$24</definedName>
    <definedName name="Snap_Equity_IRR">Scenarios!$B$25:$D$25</definedName>
    <definedName name="Snap_Equity_IRR_AT">Scenarios!$B$26:$D$26</definedName>
    <definedName name="Snap_LLCR_Op">Scenarios!$B$21:$D$21</definedName>
    <definedName name="Snap_Lockup_Years">Scenarios!$B$22:$D$22</definedName>
    <definedName name="Snap_Min_DSCR_Op">Scenarios!$B$19:$D$19</definedName>
    <definedName name="Snap_Project_IRR">Scenarios!$B$27:$D$27</definedName>
    <definedName name="Tax_Rate">Inputs!$C$36</definedName>
    <definedName name="tCO2e_Avoided_Life">Returns!$C$24</definedName>
    <definedName name="tCO2e_Avoided_Y1">Returns!$C$23</definedName>
    <definedName name="Tenor">Inputs!$C$48</definedName>
    <definedName name="Tolerance">Inputs!$C$67</definedName>
    <definedName name="Toll_Price">Inputs!$C$31</definedName>
    <definedName name="Toll_Term">Inputs!$C$32</definedName>
    <definedName name="Total_Sources">Capex_SU!$C$23</definedName>
    <definedName name="Total_Uses">Capex_SU!$C$17</definedName>
    <definedName name="Upfront_Fee">Inputs!$C$54</definedName>
    <definedName name="UST_10Y">Inputs!$C$45</definedName>
    <definedName name="W_per_kW">Inputs!$C$64</definedName>
    <definedName name="Z_P90">Inputs!$C$15</definedName>
    <definedName name="Z_P99">Inputs!$C$16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4" l="1"/>
  <c r="D5" i="13"/>
  <c r="E4" i="13"/>
  <c r="E4" i="12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D12" i="10"/>
  <c r="E4" i="10"/>
  <c r="E4" i="9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D5" i="8"/>
  <c r="E4" i="8"/>
  <c r="D8" i="7"/>
  <c r="D7" i="7"/>
  <c r="D6" i="7"/>
  <c r="D15" i="7" s="1"/>
  <c r="D5" i="7"/>
  <c r="E4" i="7"/>
  <c r="E8" i="7" s="1"/>
  <c r="D11" i="6"/>
  <c r="D12" i="6" s="1"/>
  <c r="D10" i="6"/>
  <c r="D9" i="6"/>
  <c r="C6" i="6"/>
  <c r="C5" i="6"/>
  <c r="E4" i="6"/>
  <c r="C6" i="5"/>
  <c r="C7" i="5" s="1"/>
  <c r="C5" i="5"/>
  <c r="C58" i="3"/>
  <c r="C7" i="6" s="1"/>
  <c r="C57" i="3"/>
  <c r="C56" i="3"/>
  <c r="C9" i="5" s="1"/>
  <c r="C47" i="3"/>
  <c r="C5" i="10" s="1"/>
  <c r="F4" i="10" l="1"/>
  <c r="E12" i="10"/>
  <c r="E5" i="13"/>
  <c r="F4" i="13"/>
  <c r="F4" i="12"/>
  <c r="B8" i="2"/>
  <c r="G4" i="10"/>
  <c r="F12" i="10"/>
  <c r="D8" i="8"/>
  <c r="D6" i="8"/>
  <c r="D9" i="8" s="1"/>
  <c r="E5" i="8"/>
  <c r="E7" i="8" s="1"/>
  <c r="F4" i="8"/>
  <c r="D10" i="7"/>
  <c r="D9" i="7"/>
  <c r="D12" i="7" s="1"/>
  <c r="E7" i="7"/>
  <c r="E6" i="7"/>
  <c r="E15" i="7" s="1"/>
  <c r="E5" i="7"/>
  <c r="F4" i="7"/>
  <c r="D13" i="6"/>
  <c r="D13" i="7" s="1"/>
  <c r="D14" i="6"/>
  <c r="D14" i="7" s="1"/>
  <c r="C21" i="13"/>
  <c r="B17" i="2" s="1"/>
  <c r="C22" i="13"/>
  <c r="B18" i="2" s="1"/>
  <c r="C23" i="13"/>
  <c r="B19" i="2" s="1"/>
  <c r="E11" i="6"/>
  <c r="E10" i="6"/>
  <c r="E9" i="6"/>
  <c r="F4" i="6"/>
  <c r="C10" i="5"/>
  <c r="D7" i="8"/>
  <c r="D5" i="9" l="1"/>
  <c r="D6" i="9"/>
  <c r="D7" i="9"/>
  <c r="G4" i="13"/>
  <c r="F5" i="13"/>
  <c r="G4" i="12"/>
  <c r="H4" i="10"/>
  <c r="G12" i="10"/>
  <c r="E6" i="8"/>
  <c r="E8" i="8"/>
  <c r="G4" i="8"/>
  <c r="F5" i="8"/>
  <c r="E9" i="7"/>
  <c r="E10" i="7"/>
  <c r="G4" i="7"/>
  <c r="F5" i="7"/>
  <c r="F6" i="7"/>
  <c r="F15" i="7" s="1"/>
  <c r="F7" i="7"/>
  <c r="F8" i="7"/>
  <c r="D13" i="10"/>
  <c r="D8" i="11"/>
  <c r="G4" i="6"/>
  <c r="F9" i="6"/>
  <c r="F10" i="6"/>
  <c r="F11" i="6"/>
  <c r="F12" i="6" s="1"/>
  <c r="E12" i="6"/>
  <c r="C11" i="5"/>
  <c r="C21" i="5"/>
  <c r="B6" i="2" s="1"/>
  <c r="E9" i="8" l="1"/>
  <c r="D9" i="11"/>
  <c r="D7" i="13"/>
  <c r="H4" i="13"/>
  <c r="G5" i="13"/>
  <c r="H4" i="12"/>
  <c r="I4" i="10"/>
  <c r="H12" i="10"/>
  <c r="H4" i="8"/>
  <c r="G5" i="8"/>
  <c r="F7" i="8"/>
  <c r="F6" i="8"/>
  <c r="F8" i="8"/>
  <c r="H4" i="7"/>
  <c r="G5" i="7"/>
  <c r="G6" i="7"/>
  <c r="G15" i="7" s="1"/>
  <c r="G7" i="7"/>
  <c r="G8" i="7"/>
  <c r="F9" i="7"/>
  <c r="F12" i="7" s="1"/>
  <c r="F10" i="7"/>
  <c r="H4" i="6"/>
  <c r="G9" i="6"/>
  <c r="G10" i="6"/>
  <c r="G11" i="6"/>
  <c r="G12" i="6" s="1"/>
  <c r="F13" i="6"/>
  <c r="F14" i="6"/>
  <c r="E12" i="7"/>
  <c r="E5" i="9" s="1"/>
  <c r="E14" i="6"/>
  <c r="E14" i="7" s="1"/>
  <c r="E7" i="9" s="1"/>
  <c r="E13" i="6"/>
  <c r="E13" i="7" s="1"/>
  <c r="E6" i="9" s="1"/>
  <c r="C12" i="5"/>
  <c r="C13" i="5" s="1"/>
  <c r="I4" i="13" l="1"/>
  <c r="H5" i="13"/>
  <c r="I4" i="12"/>
  <c r="J4" i="10"/>
  <c r="I12" i="10"/>
  <c r="I4" i="8"/>
  <c r="H5" i="8"/>
  <c r="G7" i="8"/>
  <c r="G6" i="8"/>
  <c r="G8" i="8"/>
  <c r="I4" i="7"/>
  <c r="H5" i="7"/>
  <c r="H6" i="7"/>
  <c r="H15" i="7" s="1"/>
  <c r="H7" i="7"/>
  <c r="H8" i="7"/>
  <c r="G9" i="7"/>
  <c r="G12" i="7" s="1"/>
  <c r="G10" i="7"/>
  <c r="I4" i="6"/>
  <c r="H9" i="6"/>
  <c r="H10" i="6"/>
  <c r="H11" i="6"/>
  <c r="H12" i="6" s="1"/>
  <c r="G13" i="6"/>
  <c r="G14" i="6"/>
  <c r="E13" i="10"/>
  <c r="E8" i="11"/>
  <c r="E7" i="13"/>
  <c r="E9" i="11"/>
  <c r="C5" i="12"/>
  <c r="H7" i="12" s="1"/>
  <c r="C7" i="13"/>
  <c r="C7" i="10"/>
  <c r="B3" i="2"/>
  <c r="F13" i="7"/>
  <c r="F14" i="7"/>
  <c r="F9" i="8"/>
  <c r="F5" i="9" s="1"/>
  <c r="J4" i="13" l="1"/>
  <c r="I5" i="13"/>
  <c r="J4" i="12"/>
  <c r="I7" i="12"/>
  <c r="K4" i="10"/>
  <c r="J12" i="10"/>
  <c r="J4" i="8"/>
  <c r="I5" i="8"/>
  <c r="H7" i="8"/>
  <c r="H6" i="8"/>
  <c r="H8" i="8"/>
  <c r="J4" i="7"/>
  <c r="I5" i="7"/>
  <c r="I6" i="7"/>
  <c r="I15" i="7" s="1"/>
  <c r="I7" i="7"/>
  <c r="I8" i="7"/>
  <c r="H9" i="7"/>
  <c r="H12" i="7" s="1"/>
  <c r="H10" i="7"/>
  <c r="J4" i="6"/>
  <c r="I9" i="6"/>
  <c r="I10" i="6"/>
  <c r="I11" i="6"/>
  <c r="I12" i="6" s="1"/>
  <c r="H13" i="6"/>
  <c r="H14" i="6"/>
  <c r="G7" i="12"/>
  <c r="F7" i="12"/>
  <c r="E7" i="12"/>
  <c r="E9" i="13" s="1"/>
  <c r="D7" i="12"/>
  <c r="D9" i="13" s="1"/>
  <c r="C9" i="13"/>
  <c r="F8" i="11"/>
  <c r="G13" i="7"/>
  <c r="G14" i="7"/>
  <c r="F6" i="9"/>
  <c r="F13" i="10" s="1"/>
  <c r="F7" i="9"/>
  <c r="G9" i="8"/>
  <c r="G5" i="9" s="1"/>
  <c r="G6" i="9" l="1"/>
  <c r="G13" i="10" s="1"/>
  <c r="K4" i="13"/>
  <c r="J5" i="13"/>
  <c r="K4" i="12"/>
  <c r="J7" i="12"/>
  <c r="L4" i="10"/>
  <c r="K12" i="10"/>
  <c r="K4" i="8"/>
  <c r="J5" i="8"/>
  <c r="I7" i="8"/>
  <c r="I6" i="8"/>
  <c r="I8" i="8"/>
  <c r="K4" i="7"/>
  <c r="J5" i="7"/>
  <c r="J6" i="7"/>
  <c r="J15" i="7" s="1"/>
  <c r="J7" i="7"/>
  <c r="J8" i="7"/>
  <c r="I9" i="7"/>
  <c r="I12" i="7" s="1"/>
  <c r="I10" i="7"/>
  <c r="K4" i="6"/>
  <c r="J9" i="6"/>
  <c r="J10" i="6"/>
  <c r="J11" i="6"/>
  <c r="J12" i="6" s="1"/>
  <c r="I13" i="6"/>
  <c r="I14" i="6"/>
  <c r="F9" i="11"/>
  <c r="F7" i="13"/>
  <c r="F9" i="13"/>
  <c r="G8" i="11"/>
  <c r="H13" i="7"/>
  <c r="H14" i="7"/>
  <c r="G7" i="9"/>
  <c r="H9" i="8"/>
  <c r="H5" i="9" s="1"/>
  <c r="I13" i="7" l="1"/>
  <c r="I14" i="7"/>
  <c r="L4" i="13"/>
  <c r="K5" i="13"/>
  <c r="L4" i="12"/>
  <c r="K7" i="12"/>
  <c r="L12" i="10"/>
  <c r="M4" i="10"/>
  <c r="L4" i="8"/>
  <c r="K5" i="8"/>
  <c r="J7" i="8"/>
  <c r="J6" i="8"/>
  <c r="J8" i="8"/>
  <c r="L4" i="7"/>
  <c r="K5" i="7"/>
  <c r="K6" i="7"/>
  <c r="K15" i="7" s="1"/>
  <c r="K7" i="7"/>
  <c r="K8" i="7"/>
  <c r="J9" i="7"/>
  <c r="J12" i="7" s="1"/>
  <c r="J10" i="7"/>
  <c r="L4" i="6"/>
  <c r="K9" i="6"/>
  <c r="K10" i="6"/>
  <c r="K11" i="6"/>
  <c r="J13" i="6"/>
  <c r="J14" i="6"/>
  <c r="G9" i="11"/>
  <c r="G7" i="13"/>
  <c r="G9" i="13"/>
  <c r="H8" i="11"/>
  <c r="I9" i="8"/>
  <c r="H6" i="9"/>
  <c r="H7" i="9"/>
  <c r="M4" i="13" l="1"/>
  <c r="L5" i="13"/>
  <c r="M4" i="12"/>
  <c r="L7" i="12"/>
  <c r="M12" i="10"/>
  <c r="N4" i="10"/>
  <c r="M4" i="8"/>
  <c r="L5" i="8"/>
  <c r="K7" i="8"/>
  <c r="K6" i="8"/>
  <c r="K8" i="8"/>
  <c r="M4" i="7"/>
  <c r="L5" i="7"/>
  <c r="L6" i="7"/>
  <c r="L15" i="7" s="1"/>
  <c r="L7" i="7"/>
  <c r="L8" i="7"/>
  <c r="K9" i="7"/>
  <c r="K10" i="7"/>
  <c r="M4" i="6"/>
  <c r="L9" i="6"/>
  <c r="L10" i="6"/>
  <c r="L11" i="6"/>
  <c r="I5" i="9"/>
  <c r="I7" i="9"/>
  <c r="I6" i="9"/>
  <c r="H9" i="11"/>
  <c r="H7" i="13"/>
  <c r="H9" i="13"/>
  <c r="K12" i="6"/>
  <c r="J13" i="7"/>
  <c r="J14" i="7"/>
  <c r="J9" i="8"/>
  <c r="J5" i="9" s="1"/>
  <c r="H13" i="10"/>
  <c r="N4" i="13" l="1"/>
  <c r="M5" i="13"/>
  <c r="N4" i="12"/>
  <c r="M7" i="12"/>
  <c r="O4" i="10"/>
  <c r="N12" i="10"/>
  <c r="N4" i="8"/>
  <c r="M5" i="8"/>
  <c r="L7" i="8"/>
  <c r="L6" i="8"/>
  <c r="L8" i="8"/>
  <c r="N4" i="7"/>
  <c r="M5" i="7"/>
  <c r="M6" i="7"/>
  <c r="M15" i="7" s="1"/>
  <c r="M7" i="7"/>
  <c r="M8" i="7"/>
  <c r="L9" i="7"/>
  <c r="L10" i="7"/>
  <c r="N4" i="6"/>
  <c r="M9" i="6"/>
  <c r="M10" i="6"/>
  <c r="M11" i="6"/>
  <c r="M12" i="6" s="1"/>
  <c r="I8" i="11"/>
  <c r="I13" i="10"/>
  <c r="I9" i="13"/>
  <c r="I7" i="13"/>
  <c r="I9" i="11"/>
  <c r="K12" i="7"/>
  <c r="K14" i="6"/>
  <c r="K14" i="7" s="1"/>
  <c r="K13" i="6"/>
  <c r="K13" i="7" s="1"/>
  <c r="J8" i="11"/>
  <c r="K9" i="8"/>
  <c r="L12" i="6"/>
  <c r="J6" i="9"/>
  <c r="J7" i="9"/>
  <c r="K7" i="9" l="1"/>
  <c r="O4" i="13"/>
  <c r="N5" i="13"/>
  <c r="O4" i="12"/>
  <c r="N7" i="12"/>
  <c r="P4" i="10"/>
  <c r="O12" i="10"/>
  <c r="O4" i="8"/>
  <c r="N5" i="8"/>
  <c r="M7" i="8"/>
  <c r="M6" i="8"/>
  <c r="M8" i="8"/>
  <c r="O4" i="7"/>
  <c r="N5" i="7"/>
  <c r="N6" i="7"/>
  <c r="N15" i="7" s="1"/>
  <c r="N7" i="7"/>
  <c r="N8" i="7"/>
  <c r="M9" i="7"/>
  <c r="M12" i="7" s="1"/>
  <c r="M10" i="7"/>
  <c r="O4" i="6"/>
  <c r="N9" i="6"/>
  <c r="N10" i="6"/>
  <c r="N11" i="6"/>
  <c r="N12" i="6" s="1"/>
  <c r="M13" i="6"/>
  <c r="M13" i="7" s="1"/>
  <c r="M14" i="6"/>
  <c r="M14" i="7" s="1"/>
  <c r="L12" i="7"/>
  <c r="L14" i="6"/>
  <c r="L14" i="7" s="1"/>
  <c r="L13" i="6"/>
  <c r="L13" i="7" s="1"/>
  <c r="J9" i="11"/>
  <c r="J7" i="13"/>
  <c r="J9" i="13"/>
  <c r="L9" i="8"/>
  <c r="K6" i="9"/>
  <c r="K5" i="9"/>
  <c r="J13" i="10"/>
  <c r="L7" i="9" l="1"/>
  <c r="L6" i="9"/>
  <c r="K9" i="13"/>
  <c r="K7" i="13"/>
  <c r="K9" i="11"/>
  <c r="P4" i="13"/>
  <c r="O5" i="13"/>
  <c r="P4" i="12"/>
  <c r="O7" i="12"/>
  <c r="P12" i="10"/>
  <c r="Q4" i="10"/>
  <c r="P4" i="8"/>
  <c r="O5" i="8"/>
  <c r="N7" i="8"/>
  <c r="N6" i="8"/>
  <c r="N8" i="8"/>
  <c r="P4" i="7"/>
  <c r="O5" i="7"/>
  <c r="O6" i="7"/>
  <c r="O15" i="7" s="1"/>
  <c r="O7" i="7"/>
  <c r="O8" i="7"/>
  <c r="N9" i="7"/>
  <c r="N10" i="7"/>
  <c r="P4" i="6"/>
  <c r="O9" i="6"/>
  <c r="O10" i="6"/>
  <c r="O11" i="6"/>
  <c r="O12" i="6" s="1"/>
  <c r="N13" i="6"/>
  <c r="N13" i="7" s="1"/>
  <c r="N14" i="6"/>
  <c r="N14" i="7" s="1"/>
  <c r="N12" i="7"/>
  <c r="L9" i="13"/>
  <c r="L7" i="13"/>
  <c r="L9" i="11"/>
  <c r="K13" i="10"/>
  <c r="K8" i="11"/>
  <c r="M9" i="8"/>
  <c r="L5" i="9"/>
  <c r="N9" i="8" l="1"/>
  <c r="Q4" i="13"/>
  <c r="P5" i="13"/>
  <c r="Q4" i="12"/>
  <c r="P7" i="12"/>
  <c r="R4" i="10"/>
  <c r="Q12" i="10"/>
  <c r="Q4" i="8"/>
  <c r="P5" i="8"/>
  <c r="O7" i="8"/>
  <c r="O6" i="8"/>
  <c r="O8" i="8"/>
  <c r="Q4" i="7"/>
  <c r="P5" i="7"/>
  <c r="P6" i="7"/>
  <c r="P15" i="7" s="1"/>
  <c r="P7" i="7"/>
  <c r="P8" i="7"/>
  <c r="O9" i="7"/>
  <c r="O12" i="7" s="1"/>
  <c r="O10" i="7"/>
  <c r="Q4" i="6"/>
  <c r="P9" i="6"/>
  <c r="P10" i="6"/>
  <c r="P11" i="6"/>
  <c r="P12" i="6" s="1"/>
  <c r="O13" i="6"/>
  <c r="O13" i="7" s="1"/>
  <c r="O14" i="6"/>
  <c r="M5" i="9"/>
  <c r="M7" i="9"/>
  <c r="M6" i="9"/>
  <c r="L13" i="10"/>
  <c r="L8" i="11"/>
  <c r="N5" i="9" l="1"/>
  <c r="N7" i="9"/>
  <c r="N6" i="9"/>
  <c r="R4" i="13"/>
  <c r="Q5" i="13"/>
  <c r="R4" i="12"/>
  <c r="Q7" i="12"/>
  <c r="S4" i="10"/>
  <c r="R12" i="10"/>
  <c r="R4" i="8"/>
  <c r="Q5" i="8"/>
  <c r="P7" i="8"/>
  <c r="P6" i="8"/>
  <c r="P8" i="8"/>
  <c r="R4" i="7"/>
  <c r="Q5" i="7"/>
  <c r="Q6" i="7"/>
  <c r="Q15" i="7" s="1"/>
  <c r="Q7" i="7"/>
  <c r="Q8" i="7"/>
  <c r="P9" i="7"/>
  <c r="P12" i="7" s="1"/>
  <c r="P10" i="7"/>
  <c r="R4" i="6"/>
  <c r="Q9" i="6"/>
  <c r="Q10" i="6"/>
  <c r="Q11" i="6"/>
  <c r="Q12" i="6" s="1"/>
  <c r="P13" i="6"/>
  <c r="P14" i="6"/>
  <c r="M8" i="11"/>
  <c r="M13" i="10"/>
  <c r="M9" i="13"/>
  <c r="M7" i="13"/>
  <c r="M9" i="11"/>
  <c r="O14" i="7"/>
  <c r="O9" i="8"/>
  <c r="N13" i="10" l="1"/>
  <c r="N8" i="11"/>
  <c r="N9" i="13"/>
  <c r="N7" i="13"/>
  <c r="N9" i="11"/>
  <c r="P13" i="7"/>
  <c r="P14" i="7"/>
  <c r="S4" i="13"/>
  <c r="R5" i="13"/>
  <c r="S4" i="12"/>
  <c r="R7" i="12"/>
  <c r="S12" i="10"/>
  <c r="T4" i="10"/>
  <c r="S4" i="8"/>
  <c r="R5" i="8"/>
  <c r="Q7" i="8"/>
  <c r="Q6" i="8"/>
  <c r="Q8" i="8"/>
  <c r="S4" i="7"/>
  <c r="R5" i="7"/>
  <c r="R6" i="7"/>
  <c r="R15" i="7" s="1"/>
  <c r="R7" i="7"/>
  <c r="R8" i="7"/>
  <c r="Q9" i="7"/>
  <c r="Q10" i="7"/>
  <c r="S4" i="6"/>
  <c r="R9" i="6"/>
  <c r="R10" i="6"/>
  <c r="R11" i="6"/>
  <c r="R12" i="6" s="1"/>
  <c r="Q13" i="6"/>
  <c r="Q13" i="7" s="1"/>
  <c r="Q14" i="6"/>
  <c r="Q14" i="7" s="1"/>
  <c r="Q12" i="7"/>
  <c r="O5" i="9"/>
  <c r="O6" i="9"/>
  <c r="O7" i="9"/>
  <c r="P9" i="8"/>
  <c r="T4" i="13" l="1"/>
  <c r="S5" i="13"/>
  <c r="T4" i="12"/>
  <c r="S7" i="12"/>
  <c r="T12" i="10"/>
  <c r="U4" i="10"/>
  <c r="T4" i="8"/>
  <c r="S5" i="8"/>
  <c r="R7" i="8"/>
  <c r="R6" i="8"/>
  <c r="R8" i="8"/>
  <c r="T4" i="7"/>
  <c r="S5" i="7"/>
  <c r="S6" i="7"/>
  <c r="S15" i="7" s="1"/>
  <c r="S7" i="7"/>
  <c r="S8" i="7"/>
  <c r="R9" i="7"/>
  <c r="R12" i="7" s="1"/>
  <c r="R10" i="7"/>
  <c r="T4" i="6"/>
  <c r="S9" i="6"/>
  <c r="S10" i="6"/>
  <c r="S11" i="6"/>
  <c r="S12" i="6" s="1"/>
  <c r="R13" i="6"/>
  <c r="R14" i="6"/>
  <c r="O13" i="10"/>
  <c r="O8" i="11"/>
  <c r="O9" i="11"/>
  <c r="O7" i="13"/>
  <c r="O9" i="13"/>
  <c r="P5" i="9"/>
  <c r="P7" i="9"/>
  <c r="P6" i="9"/>
  <c r="Q9" i="8"/>
  <c r="R13" i="7" l="1"/>
  <c r="U4" i="13"/>
  <c r="T5" i="13"/>
  <c r="U4" i="12"/>
  <c r="T7" i="12"/>
  <c r="V4" i="10"/>
  <c r="U12" i="10"/>
  <c r="U4" i="8"/>
  <c r="T5" i="8"/>
  <c r="S7" i="8"/>
  <c r="S6" i="8"/>
  <c r="S8" i="8"/>
  <c r="U4" i="7"/>
  <c r="T5" i="7"/>
  <c r="T6" i="7"/>
  <c r="T15" i="7" s="1"/>
  <c r="T8" i="7"/>
  <c r="T7" i="7"/>
  <c r="S9" i="7"/>
  <c r="S12" i="7" s="1"/>
  <c r="S10" i="7"/>
  <c r="U4" i="6"/>
  <c r="T9" i="6"/>
  <c r="T10" i="6"/>
  <c r="T11" i="6"/>
  <c r="S13" i="6"/>
  <c r="S14" i="6"/>
  <c r="P8" i="11"/>
  <c r="P13" i="10"/>
  <c r="P9" i="13"/>
  <c r="P7" i="13"/>
  <c r="P9" i="11"/>
  <c r="Q7" i="9"/>
  <c r="Q6" i="9"/>
  <c r="Q5" i="9"/>
  <c r="R9" i="8"/>
  <c r="R14" i="7"/>
  <c r="R7" i="9" s="1"/>
  <c r="S9" i="8" l="1"/>
  <c r="S5" i="9" s="1"/>
  <c r="S8" i="11" s="1"/>
  <c r="V4" i="13"/>
  <c r="V4" i="12"/>
  <c r="U7" i="12"/>
  <c r="V12" i="10"/>
  <c r="W4" i="10"/>
  <c r="V4" i="8"/>
  <c r="U5" i="8"/>
  <c r="T7" i="8"/>
  <c r="T6" i="8"/>
  <c r="T8" i="8"/>
  <c r="V4" i="7"/>
  <c r="U5" i="7"/>
  <c r="U6" i="7"/>
  <c r="U15" i="7" s="1"/>
  <c r="U8" i="7"/>
  <c r="U7" i="7"/>
  <c r="T9" i="7"/>
  <c r="T10" i="7"/>
  <c r="V4" i="6"/>
  <c r="U9" i="6"/>
  <c r="U10" i="6"/>
  <c r="U11" i="6"/>
  <c r="U12" i="6" s="1"/>
  <c r="Q9" i="13"/>
  <c r="Q7" i="13"/>
  <c r="Q9" i="11"/>
  <c r="Q8" i="11"/>
  <c r="Q13" i="10"/>
  <c r="R6" i="9"/>
  <c r="R5" i="9"/>
  <c r="R9" i="13"/>
  <c r="R7" i="13"/>
  <c r="R9" i="11"/>
  <c r="T12" i="6"/>
  <c r="S13" i="7"/>
  <c r="S14" i="7"/>
  <c r="S7" i="9" s="1"/>
  <c r="S6" i="9" l="1"/>
  <c r="S13" i="10" s="1"/>
  <c r="W4" i="13"/>
  <c r="V5" i="13"/>
  <c r="W4" i="12"/>
  <c r="V7" i="12"/>
  <c r="V5" i="11"/>
  <c r="V6" i="11"/>
  <c r="V7" i="11"/>
  <c r="V12" i="11"/>
  <c r="V13" i="11"/>
  <c r="W12" i="10"/>
  <c r="X4" i="10"/>
  <c r="W4" i="8"/>
  <c r="V5" i="8"/>
  <c r="U7" i="8"/>
  <c r="U6" i="8"/>
  <c r="U8" i="8"/>
  <c r="W4" i="7"/>
  <c r="V5" i="7"/>
  <c r="V6" i="7"/>
  <c r="V15" i="7" s="1"/>
  <c r="V8" i="7"/>
  <c r="V7" i="7"/>
  <c r="U9" i="7"/>
  <c r="U12" i="7" s="1"/>
  <c r="U10" i="7"/>
  <c r="W4" i="6"/>
  <c r="V9" i="6"/>
  <c r="V10" i="6"/>
  <c r="V11" i="6"/>
  <c r="U13" i="6"/>
  <c r="U14" i="6"/>
  <c r="R8" i="11"/>
  <c r="R13" i="10"/>
  <c r="T12" i="7"/>
  <c r="T14" i="6"/>
  <c r="T14" i="7" s="1"/>
  <c r="T13" i="6"/>
  <c r="T13" i="7" s="1"/>
  <c r="S9" i="13"/>
  <c r="S7" i="13"/>
  <c r="S9" i="11"/>
  <c r="T9" i="8"/>
  <c r="X4" i="13" l="1"/>
  <c r="W5" i="13"/>
  <c r="X4" i="12"/>
  <c r="W7" i="12"/>
  <c r="W5" i="11"/>
  <c r="W6" i="11"/>
  <c r="W7" i="11"/>
  <c r="W12" i="11"/>
  <c r="W13" i="11"/>
  <c r="X12" i="10"/>
  <c r="Y4" i="10"/>
  <c r="X4" i="8"/>
  <c r="W5" i="8"/>
  <c r="V7" i="8"/>
  <c r="V6" i="8"/>
  <c r="V8" i="8"/>
  <c r="X4" i="7"/>
  <c r="W5" i="7"/>
  <c r="W6" i="7"/>
  <c r="W15" i="7" s="1"/>
  <c r="W8" i="7"/>
  <c r="W7" i="7"/>
  <c r="V9" i="7"/>
  <c r="V10" i="7"/>
  <c r="X4" i="6"/>
  <c r="W9" i="6"/>
  <c r="W10" i="6"/>
  <c r="W11" i="6"/>
  <c r="W12" i="6" s="1"/>
  <c r="U9" i="8"/>
  <c r="U5" i="9" s="1"/>
  <c r="V12" i="6"/>
  <c r="U13" i="7"/>
  <c r="U14" i="7"/>
  <c r="T5" i="9"/>
  <c r="T6" i="9"/>
  <c r="T7" i="9"/>
  <c r="Y4" i="13" l="1"/>
  <c r="X5" i="13"/>
  <c r="Y4" i="12"/>
  <c r="X7" i="12"/>
  <c r="X5" i="11"/>
  <c r="X6" i="11"/>
  <c r="X7" i="11"/>
  <c r="X12" i="11"/>
  <c r="X13" i="11"/>
  <c r="Z4" i="10"/>
  <c r="Y12" i="10"/>
  <c r="Y4" i="8"/>
  <c r="X5" i="8"/>
  <c r="W7" i="8"/>
  <c r="W6" i="8"/>
  <c r="W8" i="8"/>
  <c r="Y4" i="7"/>
  <c r="X5" i="7"/>
  <c r="X6" i="7"/>
  <c r="X15" i="7" s="1"/>
  <c r="X8" i="7"/>
  <c r="X7" i="7"/>
  <c r="W9" i="7"/>
  <c r="W12" i="7" s="1"/>
  <c r="W10" i="7"/>
  <c r="Y4" i="6"/>
  <c r="X9" i="6"/>
  <c r="X10" i="6"/>
  <c r="X11" i="6"/>
  <c r="W13" i="6"/>
  <c r="W14" i="6"/>
  <c r="U8" i="11"/>
  <c r="V12" i="7"/>
  <c r="V14" i="6"/>
  <c r="V14" i="7" s="1"/>
  <c r="V7" i="9" s="1"/>
  <c r="V13" i="6"/>
  <c r="V13" i="7" s="1"/>
  <c r="T13" i="10"/>
  <c r="T8" i="11"/>
  <c r="T9" i="11"/>
  <c r="T7" i="13"/>
  <c r="T9" i="13"/>
  <c r="V9" i="8"/>
  <c r="U6" i="9"/>
  <c r="U13" i="10" s="1"/>
  <c r="U7" i="9"/>
  <c r="W9" i="8" l="1"/>
  <c r="W5" i="9" s="1"/>
  <c r="X12" i="6"/>
  <c r="W13" i="7"/>
  <c r="W6" i="9" s="1"/>
  <c r="W14" i="7"/>
  <c r="W7" i="9" s="1"/>
  <c r="V5" i="9"/>
  <c r="V6" i="9"/>
  <c r="Z4" i="13"/>
  <c r="Y5" i="13"/>
  <c r="Z4" i="12"/>
  <c r="Y7" i="12"/>
  <c r="AA4" i="10"/>
  <c r="Z12" i="10"/>
  <c r="Y5" i="11"/>
  <c r="Y6" i="11"/>
  <c r="Y7" i="11"/>
  <c r="Y12" i="11"/>
  <c r="Y13" i="11"/>
  <c r="Z4" i="8"/>
  <c r="Y5" i="8"/>
  <c r="X7" i="8"/>
  <c r="X6" i="8"/>
  <c r="X8" i="8"/>
  <c r="Z4" i="7"/>
  <c r="Y5" i="7"/>
  <c r="Y6" i="7"/>
  <c r="Y15" i="7" s="1"/>
  <c r="Y7" i="7"/>
  <c r="Y8" i="7"/>
  <c r="X9" i="7"/>
  <c r="X12" i="7" s="1"/>
  <c r="X10" i="7"/>
  <c r="W9" i="11"/>
  <c r="W7" i="13"/>
  <c r="W9" i="13"/>
  <c r="W13" i="10"/>
  <c r="W8" i="11"/>
  <c r="Z4" i="6"/>
  <c r="Y9" i="6"/>
  <c r="Y10" i="6"/>
  <c r="Y11" i="6"/>
  <c r="Y12" i="6" s="1"/>
  <c r="X13" i="6"/>
  <c r="X14" i="6"/>
  <c r="V13" i="10"/>
  <c r="V8" i="11"/>
  <c r="V9" i="13"/>
  <c r="V7" i="13"/>
  <c r="V9" i="11"/>
  <c r="U9" i="11"/>
  <c r="U7" i="13"/>
  <c r="U9" i="13"/>
  <c r="AA4" i="13" l="1"/>
  <c r="Z5" i="13"/>
  <c r="AA4" i="12"/>
  <c r="Z7" i="12"/>
  <c r="AB4" i="10"/>
  <c r="AA12" i="10"/>
  <c r="Z5" i="11"/>
  <c r="Z6" i="11"/>
  <c r="Z7" i="11"/>
  <c r="Z12" i="11"/>
  <c r="Z13" i="11"/>
  <c r="AA4" i="8"/>
  <c r="Z5" i="8"/>
  <c r="Y7" i="8"/>
  <c r="Y6" i="8"/>
  <c r="Y8" i="8"/>
  <c r="AA4" i="7"/>
  <c r="Z5" i="7"/>
  <c r="Z6" i="7"/>
  <c r="Z15" i="7" s="1"/>
  <c r="Z8" i="7"/>
  <c r="Z7" i="7"/>
  <c r="Y9" i="7"/>
  <c r="Y10" i="7"/>
  <c r="AA4" i="6"/>
  <c r="Z9" i="6"/>
  <c r="Z10" i="6"/>
  <c r="Z11" i="6"/>
  <c r="Z12" i="6" s="1"/>
  <c r="Y13" i="6"/>
  <c r="Y13" i="7" s="1"/>
  <c r="Y14" i="6"/>
  <c r="Y14" i="7" s="1"/>
  <c r="Y12" i="7"/>
  <c r="X13" i="7"/>
  <c r="X14" i="7"/>
  <c r="X9" i="8"/>
  <c r="X5" i="9" s="1"/>
  <c r="AB4" i="13" l="1"/>
  <c r="AA5" i="13"/>
  <c r="AB4" i="12"/>
  <c r="AA7" i="12"/>
  <c r="AC4" i="10"/>
  <c r="AB12" i="10"/>
  <c r="AA5" i="11"/>
  <c r="AA6" i="11"/>
  <c r="AA7" i="11"/>
  <c r="AA12" i="11"/>
  <c r="AA13" i="11"/>
  <c r="AB4" i="8"/>
  <c r="AA5" i="8"/>
  <c r="Z7" i="8"/>
  <c r="Z6" i="8"/>
  <c r="Z8" i="8"/>
  <c r="AB4" i="7"/>
  <c r="AA5" i="7"/>
  <c r="AA6" i="7"/>
  <c r="AA15" i="7" s="1"/>
  <c r="AA7" i="7"/>
  <c r="AA8" i="7"/>
  <c r="Z9" i="7"/>
  <c r="Z12" i="7" s="1"/>
  <c r="Z10" i="7"/>
  <c r="AB4" i="6"/>
  <c r="AA9" i="6"/>
  <c r="AA10" i="6"/>
  <c r="AA11" i="6"/>
  <c r="AA12" i="6" s="1"/>
  <c r="Z13" i="6"/>
  <c r="Z13" i="7" s="1"/>
  <c r="Z14" i="6"/>
  <c r="X8" i="11"/>
  <c r="X7" i="9"/>
  <c r="Y9" i="8"/>
  <c r="X6" i="9"/>
  <c r="Z14" i="7" l="1"/>
  <c r="AC4" i="13"/>
  <c r="AB5" i="13"/>
  <c r="AC4" i="12"/>
  <c r="AB7" i="12"/>
  <c r="AC12" i="10"/>
  <c r="AD4" i="10"/>
  <c r="AB5" i="11"/>
  <c r="AB6" i="11"/>
  <c r="AB7" i="11"/>
  <c r="AB12" i="11"/>
  <c r="AB13" i="11"/>
  <c r="AC4" i="8"/>
  <c r="AB5" i="8"/>
  <c r="AA7" i="8"/>
  <c r="AA6" i="8"/>
  <c r="AA8" i="8"/>
  <c r="AC4" i="7"/>
  <c r="AB5" i="7"/>
  <c r="AB6" i="7"/>
  <c r="AB15" i="7" s="1"/>
  <c r="AB7" i="7"/>
  <c r="AB8" i="7"/>
  <c r="AA9" i="7"/>
  <c r="AA12" i="7" s="1"/>
  <c r="AA10" i="7"/>
  <c r="AC4" i="6"/>
  <c r="AB9" i="6"/>
  <c r="AB10" i="6"/>
  <c r="AB11" i="6"/>
  <c r="AB12" i="6" s="1"/>
  <c r="AA13" i="6"/>
  <c r="AA14" i="6"/>
  <c r="X9" i="11"/>
  <c r="X7" i="13"/>
  <c r="X9" i="13"/>
  <c r="Y5" i="9"/>
  <c r="Y7" i="9"/>
  <c r="Y6" i="9"/>
  <c r="Z9" i="8"/>
  <c r="X13" i="10"/>
  <c r="AD4" i="13" l="1"/>
  <c r="AC5" i="13"/>
  <c r="AD4" i="12"/>
  <c r="AC7" i="12"/>
  <c r="AC5" i="11"/>
  <c r="AC6" i="11"/>
  <c r="AC7" i="11"/>
  <c r="AC12" i="11"/>
  <c r="AC13" i="11"/>
  <c r="AE4" i="10"/>
  <c r="AD12" i="10"/>
  <c r="AD4" i="8"/>
  <c r="AC5" i="8"/>
  <c r="AB7" i="8"/>
  <c r="AB6" i="8"/>
  <c r="AB8" i="8"/>
  <c r="AD4" i="7"/>
  <c r="AC5" i="7"/>
  <c r="AC6" i="7"/>
  <c r="AC15" i="7" s="1"/>
  <c r="AC8" i="7"/>
  <c r="AC7" i="7"/>
  <c r="AB9" i="7"/>
  <c r="AB10" i="7"/>
  <c r="AD4" i="6"/>
  <c r="AC9" i="6"/>
  <c r="AC10" i="6"/>
  <c r="AC11" i="6"/>
  <c r="AC12" i="6" s="1"/>
  <c r="AB13" i="6"/>
  <c r="AB13" i="7" s="1"/>
  <c r="AB14" i="6"/>
  <c r="AB14" i="7" s="1"/>
  <c r="AB12" i="7"/>
  <c r="Y13" i="10"/>
  <c r="Y8" i="11"/>
  <c r="Y9" i="13"/>
  <c r="Y7" i="13"/>
  <c r="Y9" i="11"/>
  <c r="Z5" i="9"/>
  <c r="Z7" i="9"/>
  <c r="Z6" i="9"/>
  <c r="AA13" i="7"/>
  <c r="AA14" i="7"/>
  <c r="AA9" i="8"/>
  <c r="AA5" i="9" s="1"/>
  <c r="AE4" i="13" l="1"/>
  <c r="AD5" i="13"/>
  <c r="AE4" i="12"/>
  <c r="AD7" i="12"/>
  <c r="AE12" i="10"/>
  <c r="AF4" i="10"/>
  <c r="AD5" i="11"/>
  <c r="AD6" i="11"/>
  <c r="AD7" i="11"/>
  <c r="AD12" i="11"/>
  <c r="AD13" i="11"/>
  <c r="AE4" i="8"/>
  <c r="AD5" i="8"/>
  <c r="AC7" i="8"/>
  <c r="AC6" i="8"/>
  <c r="AC8" i="8"/>
  <c r="AE4" i="7"/>
  <c r="AD5" i="7"/>
  <c r="AD6" i="7"/>
  <c r="AD15" i="7" s="1"/>
  <c r="AD8" i="7"/>
  <c r="AD7" i="7"/>
  <c r="AC9" i="7"/>
  <c r="AC12" i="7" s="1"/>
  <c r="AC10" i="7"/>
  <c r="AE4" i="6"/>
  <c r="AD9" i="6"/>
  <c r="AD10" i="6"/>
  <c r="AD11" i="6"/>
  <c r="AD12" i="6" s="1"/>
  <c r="AC13" i="6"/>
  <c r="AC13" i="7" s="1"/>
  <c r="AC14" i="6"/>
  <c r="Z8" i="11"/>
  <c r="Z13" i="10"/>
  <c r="Z9" i="13"/>
  <c r="Z7" i="13"/>
  <c r="Z9" i="11"/>
  <c r="AA8" i="11"/>
  <c r="AB9" i="8"/>
  <c r="AA6" i="9"/>
  <c r="AA7" i="9"/>
  <c r="AC14" i="7" l="1"/>
  <c r="AF4" i="13"/>
  <c r="AE5" i="13"/>
  <c r="AF4" i="12"/>
  <c r="AE7" i="12"/>
  <c r="AE13" i="11"/>
  <c r="AE5" i="11"/>
  <c r="AE6" i="11"/>
  <c r="AE7" i="11"/>
  <c r="AE12" i="11"/>
  <c r="AG4" i="10"/>
  <c r="AG12" i="10" s="1"/>
  <c r="AF12" i="10"/>
  <c r="AF4" i="8"/>
  <c r="AE5" i="8"/>
  <c r="AD7" i="8"/>
  <c r="AD6" i="8"/>
  <c r="AD8" i="8"/>
  <c r="AF4" i="7"/>
  <c r="AE5" i="7"/>
  <c r="AE6" i="7"/>
  <c r="AE15" i="7" s="1"/>
  <c r="AE8" i="7"/>
  <c r="AE7" i="7"/>
  <c r="AD9" i="7"/>
  <c r="AD12" i="7" s="1"/>
  <c r="AD10" i="7"/>
  <c r="AF4" i="6"/>
  <c r="AE9" i="6"/>
  <c r="AE10" i="6"/>
  <c r="AE11" i="6"/>
  <c r="AD13" i="6"/>
  <c r="AD14" i="6"/>
  <c r="AB5" i="9"/>
  <c r="AB7" i="9"/>
  <c r="AB6" i="9"/>
  <c r="AA9" i="11"/>
  <c r="AA7" i="13"/>
  <c r="AA9" i="13"/>
  <c r="AC9" i="8"/>
  <c r="AA13" i="10"/>
  <c r="AE12" i="6" l="1"/>
  <c r="AG4" i="13"/>
  <c r="AG5" i="13" s="1"/>
  <c r="AF5" i="13"/>
  <c r="AG4" i="12"/>
  <c r="AG7" i="12" s="1"/>
  <c r="AF7" i="12"/>
  <c r="AG5" i="11"/>
  <c r="AG6" i="11"/>
  <c r="AG7" i="11"/>
  <c r="AG12" i="11"/>
  <c r="AG13" i="11"/>
  <c r="AF5" i="11"/>
  <c r="AF6" i="11"/>
  <c r="AF7" i="11"/>
  <c r="AF12" i="11"/>
  <c r="AF13" i="11"/>
  <c r="AG4" i="8"/>
  <c r="AG5" i="8" s="1"/>
  <c r="AF5" i="8"/>
  <c r="AE7" i="8"/>
  <c r="AE6" i="8"/>
  <c r="AE8" i="8"/>
  <c r="AG4" i="7"/>
  <c r="AF5" i="7"/>
  <c r="AF6" i="7"/>
  <c r="AF15" i="7" s="1"/>
  <c r="AF8" i="7"/>
  <c r="AF7" i="7"/>
  <c r="AE9" i="7"/>
  <c r="AE10" i="7"/>
  <c r="AG4" i="6"/>
  <c r="AF9" i="6"/>
  <c r="AF10" i="6"/>
  <c r="AF11" i="6"/>
  <c r="AB8" i="11"/>
  <c r="AB13" i="10"/>
  <c r="AB9" i="13"/>
  <c r="AB7" i="13"/>
  <c r="AB9" i="11"/>
  <c r="AC5" i="9"/>
  <c r="AC7" i="9"/>
  <c r="AC6" i="9"/>
  <c r="AD13" i="7"/>
  <c r="AD14" i="7"/>
  <c r="AD9" i="8"/>
  <c r="AD5" i="9" s="1"/>
  <c r="AE9" i="8" l="1"/>
  <c r="AE12" i="7"/>
  <c r="AE5" i="9" s="1"/>
  <c r="AE13" i="6"/>
  <c r="AE14" i="6"/>
  <c r="AF7" i="8"/>
  <c r="AF6" i="8"/>
  <c r="AF8" i="8"/>
  <c r="AG5" i="7"/>
  <c r="AG6" i="7"/>
  <c r="AG15" i="7" s="1"/>
  <c r="AG8" i="7"/>
  <c r="AG7" i="7"/>
  <c r="AF9" i="7"/>
  <c r="AF10" i="7"/>
  <c r="AE8" i="11"/>
  <c r="C12" i="15"/>
  <c r="AG9" i="6"/>
  <c r="AG10" i="6"/>
  <c r="AG7" i="8" s="1"/>
  <c r="AG11" i="6"/>
  <c r="AG12" i="6" s="1"/>
  <c r="AC8" i="11"/>
  <c r="AC13" i="10"/>
  <c r="AC9" i="13"/>
  <c r="AC7" i="13"/>
  <c r="AC9" i="11"/>
  <c r="AD8" i="11"/>
  <c r="AE13" i="7"/>
  <c r="AE6" i="9" s="1"/>
  <c r="AE13" i="10" s="1"/>
  <c r="AE14" i="7"/>
  <c r="AE7" i="9" s="1"/>
  <c r="AF12" i="6"/>
  <c r="AD6" i="9"/>
  <c r="AD7" i="9"/>
  <c r="AG9" i="7" l="1"/>
  <c r="AG12" i="7" s="1"/>
  <c r="AG10" i="7"/>
  <c r="C24" i="13"/>
  <c r="C25" i="13" s="1"/>
  <c r="AG13" i="6"/>
  <c r="AG14" i="6"/>
  <c r="AE9" i="13"/>
  <c r="AE7" i="13"/>
  <c r="AE9" i="11"/>
  <c r="AF12" i="7"/>
  <c r="AF14" i="6"/>
  <c r="AF14" i="7" s="1"/>
  <c r="AF13" i="6"/>
  <c r="AF13" i="7" s="1"/>
  <c r="AD9" i="11"/>
  <c r="AD7" i="13"/>
  <c r="AD9" i="13"/>
  <c r="AF9" i="8"/>
  <c r="AG6" i="8"/>
  <c r="AG8" i="8"/>
  <c r="AD13" i="10"/>
  <c r="AG13" i="7" l="1"/>
  <c r="AG14" i="7"/>
  <c r="AF5" i="9"/>
  <c r="AF7" i="9"/>
  <c r="AF6" i="9"/>
  <c r="AG9" i="8"/>
  <c r="AG5" i="9" s="1"/>
  <c r="AG6" i="9" l="1"/>
  <c r="AG7" i="9"/>
  <c r="AG9" i="13"/>
  <c r="C14" i="13" s="1"/>
  <c r="AG7" i="13"/>
  <c r="C12" i="13" s="1"/>
  <c r="AG9" i="11"/>
  <c r="AF8" i="11"/>
  <c r="AF13" i="10"/>
  <c r="AF9" i="11"/>
  <c r="AF7" i="13"/>
  <c r="AF9" i="13"/>
  <c r="AG13" i="10"/>
  <c r="AG8" i="11"/>
  <c r="B14" i="14" l="1"/>
  <c r="B14" i="2"/>
  <c r="C6" i="10"/>
  <c r="C8" i="10" s="1"/>
  <c r="C21" i="11" s="1"/>
  <c r="B12" i="2" s="1"/>
  <c r="C22" i="11" l="1"/>
  <c r="B13" i="2" s="1"/>
  <c r="C23" i="11"/>
  <c r="B8" i="14" s="1"/>
  <c r="D15" i="10"/>
  <c r="C10" i="10"/>
  <c r="B5" i="2" s="1"/>
  <c r="C20" i="5"/>
  <c r="C15" i="5"/>
  <c r="C14" i="5"/>
  <c r="B4" i="2"/>
  <c r="C11" i="15"/>
  <c r="B5" i="14"/>
  <c r="C9" i="10"/>
  <c r="D16" i="10" l="1"/>
  <c r="D8" i="12" s="1"/>
  <c r="D9" i="12" s="1"/>
  <c r="AG14" i="10"/>
  <c r="AF14" i="10"/>
  <c r="AD14" i="10"/>
  <c r="AE14" i="10"/>
  <c r="AC14" i="10"/>
  <c r="AB14" i="10"/>
  <c r="AA14" i="10"/>
  <c r="Z14" i="10"/>
  <c r="Y14" i="10"/>
  <c r="X14" i="10"/>
  <c r="V14" i="10"/>
  <c r="W14" i="10"/>
  <c r="T14" i="10"/>
  <c r="U14" i="10"/>
  <c r="R14" i="10"/>
  <c r="S14" i="10"/>
  <c r="Q14" i="10"/>
  <c r="P14" i="10"/>
  <c r="O14" i="10"/>
  <c r="M14" i="10"/>
  <c r="L14" i="10"/>
  <c r="N14" i="10"/>
  <c r="K14" i="10"/>
  <c r="J14" i="10"/>
  <c r="I14" i="10"/>
  <c r="H14" i="10"/>
  <c r="G14" i="10"/>
  <c r="E14" i="10"/>
  <c r="F14" i="10"/>
  <c r="D14" i="10"/>
  <c r="AG10" i="11" l="1"/>
  <c r="AG11" i="11" s="1"/>
  <c r="AG8" i="13"/>
  <c r="AF10" i="11"/>
  <c r="AF11" i="11" s="1"/>
  <c r="AF8" i="13"/>
  <c r="AD8" i="13"/>
  <c r="AD10" i="11"/>
  <c r="AD11" i="11" s="1"/>
  <c r="AE8" i="13"/>
  <c r="AE10" i="11"/>
  <c r="AE11" i="11" s="1"/>
  <c r="AC8" i="13"/>
  <c r="AC10" i="11"/>
  <c r="AC11" i="11" s="1"/>
  <c r="AB10" i="11"/>
  <c r="AB11" i="11" s="1"/>
  <c r="AB8" i="13"/>
  <c r="AA8" i="13"/>
  <c r="AA10" i="11"/>
  <c r="AA11" i="11" s="1"/>
  <c r="Z10" i="11"/>
  <c r="Z11" i="11" s="1"/>
  <c r="Z8" i="13"/>
  <c r="Y10" i="11"/>
  <c r="Y11" i="11" s="1"/>
  <c r="Y8" i="13"/>
  <c r="X10" i="11"/>
  <c r="X11" i="11" s="1"/>
  <c r="X8" i="13"/>
  <c r="V8" i="13"/>
  <c r="V10" i="11"/>
  <c r="V11" i="11" s="1"/>
  <c r="W8" i="13"/>
  <c r="W10" i="11"/>
  <c r="W11" i="11" s="1"/>
  <c r="T6" i="11"/>
  <c r="T5" i="11"/>
  <c r="T8" i="13"/>
  <c r="T7" i="11"/>
  <c r="T12" i="11"/>
  <c r="T13" i="11"/>
  <c r="T10" i="11"/>
  <c r="T11" i="11" s="1"/>
  <c r="U12" i="11"/>
  <c r="U7" i="11"/>
  <c r="U13" i="11"/>
  <c r="U10" i="11"/>
  <c r="U11" i="11" s="1"/>
  <c r="U5" i="11"/>
  <c r="U6" i="11"/>
  <c r="R6" i="11"/>
  <c r="R8" i="13"/>
  <c r="R7" i="11"/>
  <c r="R12" i="11"/>
  <c r="R13" i="11"/>
  <c r="R10" i="11"/>
  <c r="R11" i="11" s="1"/>
  <c r="R5" i="11"/>
  <c r="S13" i="11"/>
  <c r="S12" i="11"/>
  <c r="S7" i="11"/>
  <c r="S8" i="13"/>
  <c r="S6" i="11"/>
  <c r="S10" i="11"/>
  <c r="S11" i="11" s="1"/>
  <c r="S5" i="11"/>
  <c r="Q6" i="11"/>
  <c r="Q10" i="11"/>
  <c r="Q11" i="11" s="1"/>
  <c r="Q12" i="11"/>
  <c r="Q13" i="11"/>
  <c r="Q7" i="11"/>
  <c r="Q8" i="13"/>
  <c r="Q5" i="11"/>
  <c r="P6" i="11"/>
  <c r="P13" i="11"/>
  <c r="P7" i="11"/>
  <c r="P12" i="11"/>
  <c r="P8" i="13"/>
  <c r="P5" i="11"/>
  <c r="P10" i="11"/>
  <c r="P11" i="11" s="1"/>
  <c r="O6" i="11"/>
  <c r="O8" i="13"/>
  <c r="O12" i="11"/>
  <c r="O5" i="11"/>
  <c r="O7" i="11"/>
  <c r="O13" i="11"/>
  <c r="O10" i="11"/>
  <c r="O11" i="11" s="1"/>
  <c r="M6" i="11"/>
  <c r="M10" i="11"/>
  <c r="M11" i="11" s="1"/>
  <c r="M13" i="11"/>
  <c r="M7" i="11"/>
  <c r="M5" i="11"/>
  <c r="M12" i="11"/>
  <c r="M8" i="13"/>
  <c r="L6" i="11"/>
  <c r="L7" i="11"/>
  <c r="L12" i="11"/>
  <c r="L13" i="11"/>
  <c r="L8" i="13"/>
  <c r="L5" i="11"/>
  <c r="L10" i="11"/>
  <c r="L11" i="11" s="1"/>
  <c r="N6" i="11"/>
  <c r="N5" i="11"/>
  <c r="N8" i="13"/>
  <c r="N13" i="11"/>
  <c r="N7" i="11"/>
  <c r="N12" i="11"/>
  <c r="N10" i="11"/>
  <c r="N11" i="11" s="1"/>
  <c r="K8" i="13"/>
  <c r="K7" i="11"/>
  <c r="K13" i="11"/>
  <c r="K12" i="11"/>
  <c r="K6" i="11"/>
  <c r="K5" i="11"/>
  <c r="K10" i="11"/>
  <c r="K11" i="11" s="1"/>
  <c r="J5" i="11"/>
  <c r="J6" i="11"/>
  <c r="J10" i="11"/>
  <c r="J11" i="11" s="1"/>
  <c r="J8" i="13"/>
  <c r="J7" i="11"/>
  <c r="J13" i="11"/>
  <c r="J12" i="11"/>
  <c r="I6" i="11"/>
  <c r="I12" i="11"/>
  <c r="I8" i="13"/>
  <c r="I5" i="11"/>
  <c r="I13" i="11"/>
  <c r="I7" i="11"/>
  <c r="I10" i="11"/>
  <c r="I11" i="11" s="1"/>
  <c r="H5" i="11"/>
  <c r="H6" i="11"/>
  <c r="H8" i="13"/>
  <c r="H7" i="11"/>
  <c r="H12" i="11"/>
  <c r="H13" i="11"/>
  <c r="H10" i="11"/>
  <c r="H11" i="11" s="1"/>
  <c r="G8" i="13"/>
  <c r="G7" i="11"/>
  <c r="G12" i="11"/>
  <c r="G13" i="11"/>
  <c r="G6" i="11"/>
  <c r="G5" i="11"/>
  <c r="G10" i="11"/>
  <c r="G11" i="11" s="1"/>
  <c r="E6" i="11"/>
  <c r="E7" i="11"/>
  <c r="E5" i="11"/>
  <c r="E10" i="11"/>
  <c r="E11" i="11" s="1"/>
  <c r="E8" i="13"/>
  <c r="E13" i="11"/>
  <c r="E12" i="11"/>
  <c r="F8" i="13"/>
  <c r="F7" i="11"/>
  <c r="F12" i="11"/>
  <c r="F13" i="11"/>
  <c r="F10" i="11"/>
  <c r="F11" i="11" s="1"/>
  <c r="F6" i="11"/>
  <c r="F5" i="11"/>
  <c r="D17" i="10"/>
  <c r="D18" i="10" s="1"/>
  <c r="C16" i="5"/>
  <c r="C5" i="15"/>
  <c r="D6" i="11"/>
  <c r="D10" i="11"/>
  <c r="D11" i="11" s="1"/>
  <c r="D5" i="11"/>
  <c r="D13" i="11"/>
  <c r="D7" i="11"/>
  <c r="D12" i="11"/>
  <c r="D8" i="13"/>
  <c r="D10" i="13" s="1"/>
  <c r="C24" i="11" l="1"/>
  <c r="B9" i="14" s="1"/>
  <c r="C8" i="15"/>
  <c r="C25" i="11"/>
  <c r="B10" i="14" s="1"/>
  <c r="E15" i="10"/>
  <c r="C17" i="5"/>
  <c r="C22" i="5" s="1"/>
  <c r="U5" i="13"/>
  <c r="U8" i="13" s="1"/>
  <c r="C18" i="11"/>
  <c r="C17" i="11"/>
  <c r="C15" i="11"/>
  <c r="C16" i="11"/>
  <c r="C19" i="11"/>
  <c r="C20" i="11"/>
  <c r="B7" i="14" s="1"/>
  <c r="E16" i="10" l="1"/>
  <c r="C23" i="5"/>
  <c r="C4" i="15" s="1"/>
  <c r="B7" i="2"/>
  <c r="B11" i="14"/>
  <c r="C16" i="13"/>
  <c r="C8" i="13"/>
  <c r="C10" i="15"/>
  <c r="B10" i="2"/>
  <c r="C9" i="15"/>
  <c r="B9" i="2"/>
  <c r="B6" i="14"/>
  <c r="B11" i="2"/>
  <c r="E17" i="10" l="1"/>
  <c r="E18" i="10" s="1"/>
  <c r="E8" i="12"/>
  <c r="E9" i="12" s="1"/>
  <c r="E10" i="13" s="1"/>
  <c r="C10" i="13"/>
  <c r="C13" i="13"/>
  <c r="C17" i="13" l="1"/>
  <c r="B12" i="14"/>
  <c r="B15" i="2"/>
  <c r="F15" i="10"/>
  <c r="F16" i="10" l="1"/>
  <c r="F17" i="10" l="1"/>
  <c r="F18" i="10" s="1"/>
  <c r="G15" i="10" s="1"/>
  <c r="G16" i="10" s="1"/>
  <c r="F8" i="12"/>
  <c r="F9" i="12" s="1"/>
  <c r="F10" i="13" s="1"/>
  <c r="G17" i="10" l="1"/>
  <c r="G18" i="10" s="1"/>
  <c r="H15" i="10" s="1"/>
  <c r="G8" i="12"/>
  <c r="G9" i="12" s="1"/>
  <c r="G10" i="13" s="1"/>
  <c r="H16" i="10" l="1"/>
  <c r="H17" i="10" l="1"/>
  <c r="H18" i="10" s="1"/>
  <c r="I15" i="10" s="1"/>
  <c r="H8" i="12"/>
  <c r="H9" i="12" s="1"/>
  <c r="H10" i="13" s="1"/>
  <c r="I16" i="10" l="1"/>
  <c r="I17" i="10" l="1"/>
  <c r="I18" i="10" s="1"/>
  <c r="J15" i="10" s="1"/>
  <c r="I8" i="12"/>
  <c r="I9" i="12" s="1"/>
  <c r="I10" i="13" s="1"/>
  <c r="J16" i="10" l="1"/>
  <c r="J17" i="10" l="1"/>
  <c r="J18" i="10" s="1"/>
  <c r="K15" i="10" s="1"/>
  <c r="J8" i="12"/>
  <c r="J9" i="12" s="1"/>
  <c r="J10" i="13" s="1"/>
  <c r="K16" i="10" l="1"/>
  <c r="K17" i="10" l="1"/>
  <c r="K18" i="10" s="1"/>
  <c r="L15" i="10" s="1"/>
  <c r="K8" i="12"/>
  <c r="K9" i="12" s="1"/>
  <c r="K10" i="13" s="1"/>
  <c r="L16" i="10" l="1"/>
  <c r="L17" i="10" l="1"/>
  <c r="L18" i="10" s="1"/>
  <c r="M15" i="10" s="1"/>
  <c r="M16" i="10" s="1"/>
  <c r="L8" i="12"/>
  <c r="L9" i="12" s="1"/>
  <c r="L10" i="13" s="1"/>
  <c r="M17" i="10" l="1"/>
  <c r="M18" i="10" s="1"/>
  <c r="N15" i="10" s="1"/>
  <c r="N16" i="10" s="1"/>
  <c r="M8" i="12"/>
  <c r="M9" i="12" s="1"/>
  <c r="M10" i="13" s="1"/>
  <c r="N17" i="10" l="1"/>
  <c r="N18" i="10" s="1"/>
  <c r="O15" i="10" s="1"/>
  <c r="N8" i="12"/>
  <c r="N9" i="12" s="1"/>
  <c r="N10" i="13" s="1"/>
  <c r="O16" i="10" l="1"/>
  <c r="O17" i="10" l="1"/>
  <c r="O18" i="10" s="1"/>
  <c r="P15" i="10" s="1"/>
  <c r="O8" i="12"/>
  <c r="O9" i="12" s="1"/>
  <c r="O10" i="13" s="1"/>
  <c r="P16" i="10" l="1"/>
  <c r="P8" i="12" l="1"/>
  <c r="P9" i="12" s="1"/>
  <c r="P10" i="13" s="1"/>
  <c r="P17" i="10"/>
  <c r="P18" i="10" s="1"/>
  <c r="Q15" i="10" s="1"/>
  <c r="Q16" i="10"/>
  <c r="Q17" i="10" l="1"/>
  <c r="Q18" i="10" s="1"/>
  <c r="R15" i="10" s="1"/>
  <c r="R16" i="10" s="1"/>
  <c r="Q8" i="12"/>
  <c r="Q9" i="12" s="1"/>
  <c r="Q10" i="13" s="1"/>
  <c r="R17" i="10" l="1"/>
  <c r="R18" i="10" s="1"/>
  <c r="S15" i="10" s="1"/>
  <c r="R8" i="12"/>
  <c r="R9" i="12" s="1"/>
  <c r="R10" i="13" s="1"/>
  <c r="S16" i="10" l="1"/>
  <c r="S8" i="12" l="1"/>
  <c r="S9" i="12" s="1"/>
  <c r="S10" i="13" s="1"/>
  <c r="S17" i="10"/>
  <c r="S18" i="10" s="1"/>
  <c r="T15" i="10" s="1"/>
  <c r="T16" i="10" l="1"/>
  <c r="T8" i="12" l="1"/>
  <c r="T9" i="12" s="1"/>
  <c r="T10" i="13" s="1"/>
  <c r="T17" i="10"/>
  <c r="T18" i="10" s="1"/>
  <c r="U15" i="10" s="1"/>
  <c r="U16" i="10" l="1"/>
  <c r="U8" i="12" l="1"/>
  <c r="U9" i="12" s="1"/>
  <c r="U10" i="13" s="1"/>
  <c r="U17" i="10"/>
  <c r="U18" i="10" s="1"/>
  <c r="C6" i="15" l="1"/>
  <c r="V15" i="10"/>
  <c r="V16" i="10" l="1"/>
  <c r="V17" i="10" l="1"/>
  <c r="V18" i="10" s="1"/>
  <c r="W15" i="10" s="1"/>
  <c r="V8" i="12"/>
  <c r="V9" i="12" s="1"/>
  <c r="V10" i="13" s="1"/>
  <c r="W16" i="10" l="1"/>
  <c r="W17" i="10" l="1"/>
  <c r="W18" i="10" s="1"/>
  <c r="X15" i="10" s="1"/>
  <c r="W8" i="12"/>
  <c r="W9" i="12" s="1"/>
  <c r="W10" i="13" s="1"/>
  <c r="X16" i="10" l="1"/>
  <c r="X17" i="10" l="1"/>
  <c r="X18" i="10" s="1"/>
  <c r="Y15" i="10" s="1"/>
  <c r="X8" i="12"/>
  <c r="X9" i="12" s="1"/>
  <c r="X10" i="13" s="1"/>
  <c r="Y16" i="10" l="1"/>
  <c r="Y17" i="10" l="1"/>
  <c r="Y18" i="10" s="1"/>
  <c r="Z15" i="10" s="1"/>
  <c r="Y8" i="12"/>
  <c r="Y9" i="12" s="1"/>
  <c r="Y10" i="13" s="1"/>
  <c r="Z16" i="10" l="1"/>
  <c r="Z17" i="10" l="1"/>
  <c r="Z18" i="10" s="1"/>
  <c r="AA15" i="10" s="1"/>
  <c r="Z8" i="12"/>
  <c r="Z9" i="12" s="1"/>
  <c r="Z10" i="13" s="1"/>
  <c r="AA16" i="10" l="1"/>
  <c r="AA17" i="10" l="1"/>
  <c r="AA18" i="10" s="1"/>
  <c r="AB15" i="10" s="1"/>
  <c r="AA8" i="12"/>
  <c r="AA9" i="12" s="1"/>
  <c r="AA10" i="13" s="1"/>
  <c r="AB16" i="10" l="1"/>
  <c r="AB17" i="10" l="1"/>
  <c r="AB18" i="10" s="1"/>
  <c r="AC15" i="10" s="1"/>
  <c r="AB8" i="12"/>
  <c r="AB9" i="12" s="1"/>
  <c r="AB10" i="13" s="1"/>
  <c r="AC16" i="10" l="1"/>
  <c r="AC17" i="10" l="1"/>
  <c r="AC18" i="10" s="1"/>
  <c r="AD15" i="10" s="1"/>
  <c r="AC8" i="12"/>
  <c r="AC9" i="12" s="1"/>
  <c r="AC10" i="13" s="1"/>
  <c r="AD16" i="10" l="1"/>
  <c r="AD17" i="10" l="1"/>
  <c r="AD18" i="10" s="1"/>
  <c r="AE15" i="10" s="1"/>
  <c r="AD8" i="12"/>
  <c r="AD9" i="12" s="1"/>
  <c r="AD10" i="13" s="1"/>
  <c r="AE16" i="10" l="1"/>
  <c r="AE8" i="12" l="1"/>
  <c r="AE9" i="12" s="1"/>
  <c r="AE10" i="13" s="1"/>
  <c r="AE17" i="10"/>
  <c r="AE18" i="10" s="1"/>
  <c r="AF15" i="10" s="1"/>
  <c r="AF16" i="10" l="1"/>
  <c r="AF17" i="10" l="1"/>
  <c r="AF18" i="10" s="1"/>
  <c r="AG15" i="10" s="1"/>
  <c r="AG16" i="10" s="1"/>
  <c r="AF8" i="12"/>
  <c r="AF9" i="12" s="1"/>
  <c r="AF10" i="13" s="1"/>
  <c r="AG17" i="10" l="1"/>
  <c r="AG18" i="10" s="1"/>
  <c r="C7" i="15" s="1"/>
  <c r="AG8" i="12"/>
  <c r="AG9" i="12" s="1"/>
  <c r="AG10" i="13" s="1"/>
  <c r="C15" i="13" s="1"/>
  <c r="C18" i="13" l="1"/>
  <c r="C13" i="15" s="1"/>
  <c r="C15" i="15" s="1"/>
  <c r="B5" i="1" s="1"/>
  <c r="B13" i="14"/>
  <c r="B16" i="2"/>
</calcChain>
</file>

<file path=xl/sharedStrings.xml><?xml version="1.0" encoding="utf-8"?>
<sst xmlns="http://schemas.openxmlformats.org/spreadsheetml/2006/main" count="769" uniqueCount="367">
  <si>
    <t>Solar + storage project financing</t>
  </si>
  <si>
    <t>200 MWac solar + 100 MW / 400 MWh battery, West Texas (ERCOT), illustrative. Sculpted senior debt.</t>
  </si>
  <si>
    <t>Status</t>
  </si>
  <si>
    <t>Illustrative underwriting case built on public benchmarks. Not a real property, transaction or offer; no proprietary data.</t>
  </si>
  <si>
    <t>Model checks</t>
  </si>
  <si>
    <t>Code version</t>
  </si>
  <si>
    <t>uncommitted</t>
  </si>
  <si>
    <t>Inputs fingerprint</t>
  </si>
  <si>
    <t>358aa6d73eb6</t>
  </si>
  <si>
    <t>Data retrieved</t>
  </si>
  <si>
    <t>2026-10-15</t>
  </si>
  <si>
    <t>Colour convention</t>
  </si>
  <si>
    <t>Blue on yellow = input (Inputs tab only). Green = formula reading another tab or a named input. Black = formula on the same tab.</t>
  </si>
  <si>
    <t>Periods</t>
  </si>
  <si>
    <t>Annual. Year 1 starts at closing.</t>
  </si>
  <si>
    <t>Tabs</t>
  </si>
  <si>
    <t>Summary</t>
  </si>
  <si>
    <t>Key outputs</t>
  </si>
  <si>
    <t>Inputs</t>
  </si>
  <si>
    <t>Every assumption with its tag and source id</t>
  </si>
  <si>
    <t>Sources</t>
  </si>
  <si>
    <t>Citations, URLs and retrieval dates</t>
  </si>
  <si>
    <t>Capex_SU</t>
  </si>
  <si>
    <t>Capital costs, tax-credit proceeds, sources and uses</t>
  </si>
  <si>
    <t>Generation</t>
  </si>
  <si>
    <t>P50, P90 and operating-case output with degradation and curtailment</t>
  </si>
  <si>
    <t>Revenue</t>
  </si>
  <si>
    <t>PPA, merchant tail and battery toll</t>
  </si>
  <si>
    <t>Opex</t>
  </si>
  <si>
    <t>Solar and battery O&amp;M and asset management</t>
  </si>
  <si>
    <t>CFADS</t>
  </si>
  <si>
    <t>Cash flow available for debt service: sizing (P50, P90) and operating case</t>
  </si>
  <si>
    <t>Debt_Sculpt</t>
  </si>
  <si>
    <t>Closed-form sculpted debt sizing and the repayment schedule</t>
  </si>
  <si>
    <t>Ratios</t>
  </si>
  <si>
    <t>DSCR by year (P50, P90, operating), LLCR and PLCR</t>
  </si>
  <si>
    <t>Tax</t>
  </si>
  <si>
    <t>MACRS depreciation and tax for a sponsor that can use losses</t>
  </si>
  <si>
    <t>Returns</t>
  </si>
  <si>
    <t>Project and equity cash flows, pre- and after-tax IRRs, avoided emissions</t>
  </si>
  <si>
    <t>Scenarios</t>
  </si>
  <si>
    <t>Base / Downside / Severe (rating-agency style), one-factor sensitivities, break-even output</t>
  </si>
  <si>
    <t>Checks</t>
  </si>
  <si>
    <t>Integrity checks; the Cover shows whether all pass</t>
  </si>
  <si>
    <t>Project capex</t>
  </si>
  <si>
    <t>$</t>
  </si>
  <si>
    <t>Senior debt</t>
  </si>
  <si>
    <t>Gearing (debt / project capex)</t>
  </si>
  <si>
    <t>%</t>
  </si>
  <si>
    <t>Tax-credit proceeds</t>
  </si>
  <si>
    <t>Sponsor equity</t>
  </si>
  <si>
    <t>Coupon</t>
  </si>
  <si>
    <t>Minimum DSCR, P50</t>
  </si>
  <si>
    <t>x</t>
  </si>
  <si>
    <t>Minimum DSCR, P90</t>
  </si>
  <si>
    <t>Minimum DSCR, operating case</t>
  </si>
  <si>
    <t>LLCR</t>
  </si>
  <si>
    <t>PLCR</t>
  </si>
  <si>
    <t>Project IRR, pre-tax</t>
  </si>
  <si>
    <t>Equity IRR, pre-tax</t>
  </si>
  <si>
    <t>Equity IRR, after tax</t>
  </si>
  <si>
    <t>Generation, year 1 (P50)</t>
  </si>
  <si>
    <t>MWh</t>
  </si>
  <si>
    <t>Net capacity factor, year 1</t>
  </si>
  <si>
    <t>Grid emissions displaced, year 1</t>
  </si>
  <si>
    <t>tCO2e</t>
  </si>
  <si>
    <t>Every assumption in the model, once. Tag: Sourced = read from the cited public source; Estimated = analyst assumption anchored to a source; Illustrative = deal definition; Definition = unit conversion.</t>
  </si>
  <si>
    <t>Stress cases: the live value in column C follows Case_Select (1 = Base, 2 = Downside, 3 = Severe)</t>
  </si>
  <si>
    <t>Section</t>
  </si>
  <si>
    <t>Input</t>
  </si>
  <si>
    <t>Value</t>
  </si>
  <si>
    <t>Unit</t>
  </si>
  <si>
    <t>Tag</t>
  </si>
  <si>
    <t>Source id</t>
  </si>
  <si>
    <t>Note</t>
  </si>
  <si>
    <t>Base</t>
  </si>
  <si>
    <t>Downside</t>
  </si>
  <si>
    <t>Severe</t>
  </si>
  <si>
    <t>Project</t>
  </si>
  <si>
    <t>Solar capacity (AC)</t>
  </si>
  <si>
    <t>MWac</t>
  </si>
  <si>
    <t>Illustrative</t>
  </si>
  <si>
    <t>asset</t>
  </si>
  <si>
    <t>Inverter loading ratio (DC/AC)</t>
  </si>
  <si>
    <t>ratio</t>
  </si>
  <si>
    <t>Sourced</t>
  </si>
  <si>
    <t>atb_2024b_pv</t>
  </si>
  <si>
    <t>Battery power</t>
  </si>
  <si>
    <t>MW</t>
  </si>
  <si>
    <t>Battery duration</t>
  </si>
  <si>
    <t>hours</t>
  </si>
  <si>
    <t>Solar useful life</t>
  </si>
  <si>
    <t>years</t>
  </si>
  <si>
    <t>Model columns cover 30 operating years</t>
  </si>
  <si>
    <t>Battery useful life</t>
  </si>
  <si>
    <t>atb_2024b_bess</t>
  </si>
  <si>
    <t>No repowering assumed; battery cash flows stop after year 15</t>
  </si>
  <si>
    <t>Solar capacity factor, first year (ATB resource class 2)</t>
  </si>
  <si>
    <t>% (AC)</t>
  </si>
  <si>
    <t>West Texas mapped to class 2 (GHI 5.5-5.75); the mapping is a judgement</t>
  </si>
  <si>
    <t>Curtailment loss</t>
  </si>
  <si>
    <t>% of output</t>
  </si>
  <si>
    <t>lbnl_uss_2025</t>
  </si>
  <si>
    <t>ERCOT ISO-wide 2024; mostly West Texas</t>
  </si>
  <si>
    <t>Annual degradation</t>
  </si>
  <si>
    <t>%/yr</t>
  </si>
  <si>
    <t>One-year generation uncertainty (1 sigma)</t>
  </si>
  <si>
    <t>% of P50</t>
  </si>
  <si>
    <t>Estimated</t>
  </si>
  <si>
    <t>analyst</t>
  </si>
  <si>
    <t>Inter-annual resource plus modelling uncertainty; EIA does not publish P-values</t>
  </si>
  <si>
    <t>Normal quantile for P90</t>
  </si>
  <si>
    <t>z</t>
  </si>
  <si>
    <t>Definition</t>
  </si>
  <si>
    <t>normal_quantiles</t>
  </si>
  <si>
    <t>Normal quantile for P99</t>
  </si>
  <si>
    <t>Capital costs</t>
  </si>
  <si>
    <t>Solar installed cost (ERCOT</t>
  </si>
  <si>
    <t>$/Wac</t>
  </si>
  <si>
    <t>Battery installed cost (4-hour</t>
  </si>
  <si>
    <t>$/kWh</t>
  </si>
  <si>
    <t>nlr_bess_2025</t>
  </si>
  <si>
    <t>Development</t>
  </si>
  <si>
    <t>% of equipment capex</t>
  </si>
  <si>
    <t>Construction period</t>
  </si>
  <si>
    <t>Average share of debt drawn during construction</t>
  </si>
  <si>
    <t>Operating costs</t>
  </si>
  <si>
    <t>Solar fixed O&amp;M (all-in)</t>
  </si>
  <si>
    <t>$/kWac-yr</t>
  </si>
  <si>
    <t>ATB 2023 value; includes insurance, property tax and land per ATB scope</t>
  </si>
  <si>
    <t>Battery fixed O&amp;M incl. augmentation</t>
  </si>
  <si>
    <t>% of battery capex/yr</t>
  </si>
  <si>
    <t>Asset management and admin</t>
  </si>
  <si>
    <t>$/yr</t>
  </si>
  <si>
    <t>Opex escalation</t>
  </si>
  <si>
    <t>Solar PPA price (as generated</t>
  </si>
  <si>
    <t>$/MWh</t>
  </si>
  <si>
    <t>Solved (rounded) for an 8% after-tax sponsor equity IRR at benchmark capex and today's rates; ~27% above the top of the 2024 IQR ($22-40)</t>
  </si>
  <si>
    <t>PPA escalator</t>
  </si>
  <si>
    <t>PPA term</t>
  </si>
  <si>
    <t>Merchant solar price after the PPA (ERCOT</t>
  </si>
  <si>
    <t>ERCOT solar market value 2024 (chart reading)</t>
  </si>
  <si>
    <t>Merchant price escalation</t>
  </si>
  <si>
    <t>Battery tolling payment</t>
  </si>
  <si>
    <t>$/kW-month</t>
  </si>
  <si>
    <t>ERCOT has no capacity market; the toll stands in for capacity and ancillary value</t>
  </si>
  <si>
    <t>Tolling term</t>
  </si>
  <si>
    <t>Tax credits</t>
  </si>
  <si>
    <t>Solar investment tax credit</t>
  </si>
  <si>
    <t>% of solar capex</t>
  </si>
  <si>
    <t>Assumes construction began in time under post-2025 federal rules; stressed to 0</t>
  </si>
  <si>
    <t>Storage investment tax credit</t>
  </si>
  <si>
    <t>% of battery capex</t>
  </si>
  <si>
    <t>Credit transfer price</t>
  </si>
  <si>
    <t>$ per $1 of credit</t>
  </si>
  <si>
    <t>Federal corporate income tax rate</t>
  </si>
  <si>
    <t>irc_tax</t>
  </si>
  <si>
    <t>Texas has no corporate income tax; the margin tax is ignored</t>
  </si>
  <si>
    <t>5-year MACRS</t>
  </si>
  <si>
    <t>% of basis</t>
  </si>
  <si>
    <t>irs_pub946</t>
  </si>
  <si>
    <t>Depreciable basis reduction per $ of credit</t>
  </si>
  <si>
    <t>Sponsor after-tax equity hurdle used to set the PPA price</t>
  </si>
  <si>
    <t>Documentation only; a test checks the base case lands on it</t>
  </si>
  <si>
    <t>Debt</t>
  </si>
  <si>
    <t>10-year Treasury</t>
  </si>
  <si>
    <t>fred_dgs10</t>
  </si>
  <si>
    <t>Spread over Treasury (swapped fixed)</t>
  </si>
  <si>
    <t>Interest rate shock (base = 0)</t>
  </si>
  <si>
    <t>Debt tenor from COD</t>
  </si>
  <si>
    <t>Inside the 20-year PPA</t>
  </si>
  <si>
    <t>Target DSCR on P50 cash flow</t>
  </si>
  <si>
    <t>Target DSCR on P90 cash flow</t>
  </si>
  <si>
    <t>Distribution lock-up DSCR (proposed term)</t>
  </si>
  <si>
    <t>Event-of-default DSCR (proposed term)</t>
  </si>
  <si>
    <t>Maximum debt / project capex</t>
  </si>
  <si>
    <t>Upfront financing fees</t>
  </si>
  <si>
    <t>% of debt</t>
  </si>
  <si>
    <t>Debt service reserve</t>
  </si>
  <si>
    <t>months of year-1 debt service</t>
  </si>
  <si>
    <t>EPC capex overrun (base = 0)</t>
  </si>
  <si>
    <t>Merchant price shock (base = 0)</t>
  </si>
  <si>
    <t>Generation case for cash flows (0 = P50; Z_P90 or Z_P99 for stress)</t>
  </si>
  <si>
    <t>Emissions</t>
  </si>
  <si>
    <t>Grid emission rate (eGRID2022 ERCT</t>
  </si>
  <si>
    <t>lb CO2e/MWh</t>
  </si>
  <si>
    <t>egrid2022</t>
  </si>
  <si>
    <t>Average, not marginal; held flat</t>
  </si>
  <si>
    <t>Scenario</t>
  </si>
  <si>
    <t>Case shown (1 = Base, 2 = Downside, 3 = Severe)</t>
  </si>
  <si>
    <t>switch</t>
  </si>
  <si>
    <t>Stress values sit in columns I:K; see the Scenarios tab</t>
  </si>
  <si>
    <t>Conversions</t>
  </si>
  <si>
    <t>Hours per year</t>
  </si>
  <si>
    <t>definition</t>
  </si>
  <si>
    <t>Months per year</t>
  </si>
  <si>
    <t>months</t>
  </si>
  <si>
    <t>kW per MW</t>
  </si>
  <si>
    <t>W per kW</t>
  </si>
  <si>
    <t>kWh per MWh</t>
  </si>
  <si>
    <t>lb per metric ton</t>
  </si>
  <si>
    <t>Check tolerance</t>
  </si>
  <si>
    <t>Citation</t>
  </si>
  <si>
    <t>URL</t>
  </si>
  <si>
    <t>Retrieved</t>
  </si>
  <si>
    <t>EPA eGRID2022 Summary Tables: total output emission rates, RFC East (RFCE) 660.3 lb CO2e/MWh; ERCOT All (ERCT) 774.3 lb CO2e/MWh; U.S. 827.5 lb CO2e/MWh</t>
  </si>
  <si>
    <t>https://www.epa.gov/system/files/documents/2024-01/egrid2022_summary_tables.pdf</t>
  </si>
  <si>
    <t>FRED DGS10, 10-year Treasury constant maturity, 5.21% on 2026-10-13 (fetched with quantlab.data.sources.extra.fred_series)</t>
  </si>
  <si>
    <t>https://fred.stlouisfed.org/series/DGS10</t>
  </si>
  <si>
    <t>Berkeley Lab, Utility-Scale Solar 2025 Edition (2024 data): installed cost $1.61/Wac national, $1.38/Wac ERCOT (slide 34); median O&amp;M ~$11/kWac-yr; levelized PPA average $29/MWh, IQR $22-40 (slide 11); ERCOT solar curtailment 7.1% (slide 57); ERCOT solar market value $24/MWh vs $29 flat block, read from the slide-61 chart</t>
  </si>
  <si>
    <t>https://emp.lbl.gov/sites/default/files/2025-10/Utility%20Scale%20Solar%202025%20Edition%20Slides.pdf</t>
  </si>
  <si>
    <t>NREL/NLR Annual Technology Baseline 2024b, Utility-Scale PV: CAPEX $1,430/kWac (2022), fixed O&amp;M $22/kWac-yr (2023), ILR 1.34, degradation 0.7%/yr, 30-yr life, class 1-5 capacity factors 34.0%-28.3%</t>
  </si>
  <si>
    <t>https://atb.nlr.gov/electricity/2024b/utility-scale_pv</t>
  </si>
  <si>
    <t>NREL/NLR Annual Technology Baseline 2024b, Utility-Scale Battery Storage: fixed O&amp;M 2.5% of capex per year (includes augmentation), 85% round-trip efficiency, 15-year life</t>
  </si>
  <si>
    <t>https://atb.nlr.gov/electricity/2024b/utility-scale_battery_storage</t>
  </si>
  <si>
    <t>Cole, Ramasamy &amp; Turan, Cost Projections for Utility-Scale Battery Storage: 2025 Update (NREL/TP-6A40-93281): 2024 cost of a 4-hour system $334/kWh (2024$) = $241/kWh energy + $372/kW power</t>
  </si>
  <si>
    <t>https://docs.nlr.gov/docs/fy25osti/93281.pdf</t>
  </si>
  <si>
    <t>Illustrative asset definition for this model (unit mix, size, deal terms). Not a real property or transaction.</t>
  </si>
  <si>
    <t>Analyst estimate, stated in the input note. Not taken from a single published figure; treat as an assumption to stress.</t>
  </si>
  <si>
    <t>Unit conversion or definition (e.g. 12 months per year, 3,412.14 Btu per kWh, 2,204.62 lb per metric ton).</t>
  </si>
  <si>
    <t>Standard normal quantiles: z(0.90) = 1.2816, z(0.99) = 2.3263, used to turn a one-year generation uncertainty into P90 and P99 output</t>
  </si>
  <si>
    <t>Internal Revenue Code: 21% corporate rate (IRC 11(b)); depreciable basis reduced by 50% of an investment credit (IRC 50(c)(3))</t>
  </si>
  <si>
    <t>https://www.law.cornell.edu/uscode/text/26/11</t>
  </si>
  <si>
    <t>IRS Publication 946, Table A-1: 5-year property, half-year convention: 20.00%, 32.00%, 19.20%, 11.52%, 11.52%, 5.76%</t>
  </si>
  <si>
    <t>https://www.irs.gov/publications/p946</t>
  </si>
  <si>
    <t>Capital costs, sources and uses</t>
  </si>
  <si>
    <t>At financial close (year 0).</t>
  </si>
  <si>
    <t>Size</t>
  </si>
  <si>
    <t>Solar capacity (DC)</t>
  </si>
  <si>
    <t>MWdc</t>
  </si>
  <si>
    <t>Battery energy</t>
  </si>
  <si>
    <t>Battery cost at benchmark (O&amp;M basis)</t>
  </si>
  <si>
    <t>Uses</t>
  </si>
  <si>
    <t>Solar equipment and installation</t>
  </si>
  <si>
    <t>Battery equipment and installation</t>
  </si>
  <si>
    <t>Equipment capex</t>
  </si>
  <si>
    <t>Development, owner and interconnection</t>
  </si>
  <si>
    <t>Interest during construction</t>
  </si>
  <si>
    <t>Debt service reserve funding</t>
  </si>
  <si>
    <t>Total uses</t>
  </si>
  <si>
    <t>Tax-credit transfer proceeds</t>
  </si>
  <si>
    <t>Total sources</t>
  </si>
  <si>
    <t>MWh delivered after curtailment. P90/P99 are one-year exceedance levels: P50 x (1 - z x sigma).</t>
  </si>
  <si>
    <t>Year</t>
  </si>
  <si>
    <t>P90 / P50</t>
  </si>
  <si>
    <t>P99 / P50</t>
  </si>
  <si>
    <t>Operating case / P50</t>
  </si>
  <si>
    <t>Solar operating (1 = yes)</t>
  </si>
  <si>
    <t>flag</t>
  </si>
  <si>
    <t>Battery operating (1 = yes)</t>
  </si>
  <si>
    <t>Degradation index</t>
  </si>
  <si>
    <t>index</t>
  </si>
  <si>
    <t>Generation, P50</t>
  </si>
  <si>
    <t>Generation, P90</t>
  </si>
  <si>
    <t>Generation, operating case</t>
  </si>
  <si>
    <t>As-generated PPA, then merchant at the ERCOT solar market value; battery tolling for the battery's life.</t>
  </si>
  <si>
    <t>PPA in force (1 = yes)</t>
  </si>
  <si>
    <t>Toll in force (1 = yes)</t>
  </si>
  <si>
    <t>PPA price</t>
  </si>
  <si>
    <t>Merchant price, base</t>
  </si>
  <si>
    <t>Realised solar price, sizing case</t>
  </si>
  <si>
    <t>Realised solar price, operating case</t>
  </si>
  <si>
    <t>Solar revenue, P50</t>
  </si>
  <si>
    <t>Solar revenue, P90</t>
  </si>
  <si>
    <t>Solar revenue, operating case</t>
  </si>
  <si>
    <t>Battery toll revenue</t>
  </si>
  <si>
    <t>Solar O&amp;M is ATB's all-in figure; battery O&amp;M includes augmentation.</t>
  </si>
  <si>
    <t>Escalation index</t>
  </si>
  <si>
    <t>Solar O&amp;M</t>
  </si>
  <si>
    <t>Battery O&amp;M incl. augmentation</t>
  </si>
  <si>
    <t>Asset management</t>
  </si>
  <si>
    <t>Total operating costs</t>
  </si>
  <si>
    <t>Cash flow available for debt service</t>
  </si>
  <si>
    <t>Pre-tax (the project is a pass-through entity). Sizing cases use base prices; the operating case carries the stress inputs. After the PPA the plant is idled rather than run at a loss, so merchant-year cash flow is floored at zero.</t>
  </si>
  <si>
    <t>CFADS, P50 (sizing)</t>
  </si>
  <si>
    <t>CFADS, P90 (sizing)</t>
  </si>
  <si>
    <t>CFADS, operating case</t>
  </si>
  <si>
    <t>Debt sizing and sculpting</t>
  </si>
  <si>
    <t>Closed form: debt = NPV of target service at the coupon, capped by gearing; no circular references.</t>
  </si>
  <si>
    <t>Coupon (Treasury + spread + shock)</t>
  </si>
  <si>
    <t>Debt supported by target service (NPV)</t>
  </si>
  <si>
    <t>Gearing cap</t>
  </si>
  <si>
    <t>Service scale (1 = DSCR targets bind)</t>
  </si>
  <si>
    <t>Debt / project capex</t>
  </si>
  <si>
    <t>Within tenor (1 = yes)</t>
  </si>
  <si>
    <t>Target service = MIN(P50/1.35x, P90/1.00x)</t>
  </si>
  <si>
    <t>Scheduled debt service</t>
  </si>
  <si>
    <t>Opening balance</t>
  </si>
  <si>
    <t>Interest</t>
  </si>
  <si>
    <t>Principal</t>
  </si>
  <si>
    <t>Closing balance</t>
  </si>
  <si>
    <t>Coverage ratios</t>
  </si>
  <si>
    <t>DSCR shown inside the tenor only. LLCR = NPV of P50 CFADS over the tenor / debt; PLCR = over the project life.</t>
  </si>
  <si>
    <t>DSCR, P50</t>
  </si>
  <si>
    <t>DSCR, P90</t>
  </si>
  <si>
    <t>DSCR, Op</t>
  </si>
  <si>
    <t>P50 CFADS inside the tenor</t>
  </si>
  <si>
    <t>Operating CFADS inside the tenor</t>
  </si>
  <si>
    <t>Check: target - scheduled service / scale</t>
  </si>
  <si>
    <t>Absolute parity error</t>
  </si>
  <si>
    <t>Below lock-up (1 = yes)</t>
  </si>
  <si>
    <t>Below default trigger (1 = yes)</t>
  </si>
  <si>
    <t>Average DSCR, P50</t>
  </si>
  <si>
    <t>Average DSCR, P90</t>
  </si>
  <si>
    <t>Minimum DSCR, Op</t>
  </si>
  <si>
    <t>Average DSCR, Op</t>
  </si>
  <si>
    <t>LLCR (P50)</t>
  </si>
  <si>
    <t>PLCR (P50)</t>
  </si>
  <si>
    <t>LLCR, operating case</t>
  </si>
  <si>
    <t>Years below the distribution lock-up (operating case)</t>
  </si>
  <si>
    <t>Years below the default trigger (operating case)</t>
  </si>
  <si>
    <t>Sponsor-level tax on operating CFADS less interest and MACRS depreciation; losses are used as they arise (a tax-efficient sponsor). Texas has no corporate income tax.</t>
  </si>
  <si>
    <t>Depreciable basis (less 50% of credits)</t>
  </si>
  <si>
    <t>MACRS depreciation</t>
  </si>
  <si>
    <t>Taxable income</t>
  </si>
  <si>
    <t>Tax (negative = benefit used by the sponsor)</t>
  </si>
  <si>
    <t>Year 0 = financial close. Equity receives operating CFADS less scheduled debt service, and the DSRA back at maturity.</t>
  </si>
  <si>
    <t>DSRA released at maturity</t>
  </si>
  <si>
    <t>Project cash flow, pre-tax</t>
  </si>
  <si>
    <t>Equity cash flow, pre-tax</t>
  </si>
  <si>
    <t>Project cash flow, after tax</t>
  </si>
  <si>
    <t>Equity cash flow, after tax</t>
  </si>
  <si>
    <t>Project IRR, after tax</t>
  </si>
  <si>
    <t>Equity multiple, pre-tax</t>
  </si>
  <si>
    <t>Check: NPV at the pre-tax equity IRR</t>
  </si>
  <si>
    <t>Check: NPV at the after-tax equity IRR</t>
  </si>
  <si>
    <t>Output and emissions</t>
  </si>
  <si>
    <t>Grid emissions displaced, year 1 (average rate)</t>
  </si>
  <si>
    <t>Grid emissions displaced, project life</t>
  </si>
  <si>
    <t>Project capex per tonne displaced</t>
  </si>
  <si>
    <t>$/tCO2e</t>
  </si>
  <si>
    <t>Stress cases</t>
  </si>
  <si>
    <t>Rating-agency style: the operating case runs at one-year P90 (Downside) and one-year P99 (Severe) output in every year against the debt schedule fixed at close, with a lower merchant tail. A rate shock and an EPC overrun act at close: the first re-sizes the sculpted debt, the second is funded with equity.</t>
  </si>
  <si>
    <t>Case currently shown (Inputs!Case_Select)</t>
  </si>
  <si>
    <t>Minimum DSCR (operating case)</t>
  </si>
  <si>
    <t>Average DSCR (operating case)</t>
  </si>
  <si>
    <t>LLCR (operating case)</t>
  </si>
  <si>
    <t>Years in distribution lock-up</t>
  </si>
  <si>
    <t>Years below the default trigger</t>
  </si>
  <si>
    <t>Snapshot of all three cases (Python engine at build time; set Case_Select to reproduce any column live)</t>
  </si>
  <si>
    <t>Metric</t>
  </si>
  <si>
    <t>One factor at a time from the base case: minimum operating DSCR</t>
  </si>
  <si>
    <t>Lever</t>
  </si>
  <si>
    <t>Change from base</t>
  </si>
  <si>
    <t>P99 output (1-yr)</t>
  </si>
  <si>
    <t>P90 output (1-yr)</t>
  </si>
  <si>
    <t>Battery toll -25%</t>
  </si>
  <si>
    <t>Merchant tail -50%</t>
  </si>
  <si>
    <t>EPC overrun +20%</t>
  </si>
  <si>
    <t>Rate +200 bp at close</t>
  </si>
  <si>
    <t>No solar tax credit</t>
  </si>
  <si>
    <t>One factor at a time from the base case: after-tax equity IRR</t>
  </si>
  <si>
    <t>Break-evens (Python engine)</t>
  </si>
  <si>
    <t>Output (share of P50, every year) at which minimum DSCR hits 1.00x</t>
  </si>
  <si>
    <t>Implied one-year exceedance probability of that output</t>
  </si>
  <si>
    <t>Each check returns TRUE when it passes.</t>
  </si>
  <si>
    <t>Sources = uses</t>
  </si>
  <si>
    <t>Debt = NPV of scheduled debt service at the coupon</t>
  </si>
  <si>
    <t>Debt fully repaid at maturity</t>
  </si>
  <si>
    <t>Balance never negative</t>
  </si>
  <si>
    <t>Scheduled service = target service x scale in every year</t>
  </si>
  <si>
    <t>P50 DSCR at or above target</t>
  </si>
  <si>
    <t>P90 DSCR at or above target</t>
  </si>
  <si>
    <t>Debt within gearing cap</t>
  </si>
  <si>
    <t>Debt matures inside the PPA and the model</t>
  </si>
  <si>
    <t>NPV at the equity IRRs is zero</t>
  </si>
  <si>
    <t>All checks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</si>
</sst>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####"/>
    <numFmt numFmtId="165" formatCode="0.00&quot;x&quot;"/>
    <numFmt numFmtId="166" formatCode="0.000000"/>
    <numFmt numFmtId="167" formatCode="#,##0.0"/>
    <numFmt numFmtId="168" formatCode="#,##0;\(#,##0\);&quot;–&quot;"/>
    <numFmt numFmtId="169" formatCode="#,##0.0000"/>
    <numFmt numFmtId="170" formatCode="#,##0.00;\(#,##0.00\);&quot;–&quot;"/>
    <numFmt numFmtId="171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1F2933"/>
      <name val="Arial"/>
      <family val="2"/>
    </font>
    <font>
      <i/>
      <sz val="9"/>
      <color rgb="FF616E7C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6100"/>
      <name val="Arial"/>
      <family val="2"/>
    </font>
    <font>
      <b/>
      <sz val="10"/>
      <color rgb="FF1F2933"/>
      <name val="Arial"/>
      <family val="2"/>
    </font>
    <font>
      <b/>
      <sz val="10"/>
      <color rgb="FF006100"/>
      <name val="Arial"/>
      <family val="2"/>
    </font>
    <font>
      <b/>
      <sz val="10"/>
      <color rgb="FF000000"/>
      <name val="Arial"/>
      <family val="2"/>
    </font>
    <font>
      <b/>
      <sz val="16"/>
      <color rgb="FF1F29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34E68"/>
      </patternFill>
    </fill>
    <fill>
      <patternFill patternType="solid">
        <fgColor rgb="FFFFF7D6"/>
      </patternFill>
    </fill>
    <fill>
      <patternFill patternType="solid">
        <fgColor rgb="FFE9E6F5"/>
      </patternFill>
    </fill>
    <fill>
      <patternFill patternType="solid">
        <fgColor rgb="FFDFF3E4"/>
      </patternFill>
    </fill>
    <fill>
      <patternFill patternType="solid">
        <fgColor rgb="FFFFF1D6"/>
      </patternFill>
    </fill>
    <fill>
      <patternFill patternType="solid">
        <fgColor rgb="FFEEF1F4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 style="thin">
        <color rgb="FFBCCCDC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0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Alignment="1">
      <alignment wrapText="1"/>
    </xf>
    <xf numFmtId="168" fontId="0" fillId="0" borderId="0" xfId="0" applyNumberFormat="1"/>
    <xf numFmtId="171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" fillId="0" borderId="0" xfId="0" applyFont="1"/>
    <xf numFmtId="0" fontId="3" fillId="2" borderId="0" xfId="0" applyFont="1" applyFill="1"/>
    <xf numFmtId="0" fontId="5" fillId="0" borderId="0" xfId="0" applyFont="1"/>
    <xf numFmtId="164" fontId="4" fillId="3" borderId="0" xfId="0" applyNumberFormat="1" applyFont="1" applyFill="1"/>
    <xf numFmtId="0" fontId="0" fillId="4" borderId="0" xfId="0" applyFill="1"/>
    <xf numFmtId="0" fontId="0" fillId="5" borderId="0" xfId="0" applyFill="1"/>
    <xf numFmtId="10" fontId="4" fillId="3" borderId="0" xfId="0" applyNumberFormat="1" applyFont="1" applyFill="1"/>
    <xf numFmtId="0" fontId="0" fillId="6" borderId="0" xfId="0" applyFill="1"/>
    <xf numFmtId="0" fontId="0" fillId="7" borderId="0" xfId="0" applyFill="1"/>
    <xf numFmtId="4" fontId="4" fillId="3" borderId="0" xfId="0" applyNumberFormat="1" applyFont="1" applyFill="1"/>
    <xf numFmtId="3" fontId="4" fillId="3" borderId="0" xfId="0" applyNumberFormat="1" applyFont="1" applyFill="1"/>
    <xf numFmtId="10" fontId="6" fillId="0" borderId="0" xfId="0" applyNumberFormat="1" applyFont="1"/>
    <xf numFmtId="165" fontId="4" fillId="3" borderId="0" xfId="0" applyNumberFormat="1" applyFont="1" applyFill="1"/>
    <xf numFmtId="164" fontId="6" fillId="0" borderId="0" xfId="0" applyNumberFormat="1" applyFont="1"/>
    <xf numFmtId="166" fontId="4" fillId="3" borderId="0" xfId="0" applyNumberFormat="1" applyFont="1" applyFill="1"/>
    <xf numFmtId="0" fontId="0" fillId="0" borderId="0" xfId="0" applyAlignment="1">
      <alignment vertical="top" wrapText="1"/>
    </xf>
    <xf numFmtId="0" fontId="7" fillId="8" borderId="0" xfId="0" applyFont="1" applyFill="1"/>
    <xf numFmtId="0" fontId="0" fillId="8" borderId="0" xfId="0" applyFill="1"/>
    <xf numFmtId="167" fontId="6" fillId="0" borderId="0" xfId="0" applyNumberFormat="1" applyFont="1"/>
    <xf numFmtId="168" fontId="6" fillId="0" borderId="0" xfId="0" applyNumberFormat="1" applyFont="1"/>
    <xf numFmtId="168" fontId="8" fillId="0" borderId="0" xfId="0" applyNumberFormat="1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9" fontId="6" fillId="0" borderId="0" xfId="0" applyNumberFormat="1" applyFont="1"/>
    <xf numFmtId="1" fontId="6" fillId="0" borderId="0" xfId="0" applyNumberFormat="1" applyFont="1"/>
    <xf numFmtId="170" fontId="6" fillId="0" borderId="0" xfId="0" applyNumberFormat="1" applyFont="1"/>
    <xf numFmtId="170" fontId="5" fillId="0" borderId="0" xfId="0" applyNumberFormat="1" applyFont="1"/>
    <xf numFmtId="0" fontId="7" fillId="0" borderId="1" xfId="0" applyFont="1" applyBorder="1"/>
    <xf numFmtId="0" fontId="2" fillId="0" borderId="1" xfId="0" applyFont="1" applyBorder="1"/>
    <xf numFmtId="168" fontId="5" fillId="0" borderId="1" xfId="0" applyNumberFormat="1" applyFont="1" applyBorder="1"/>
    <xf numFmtId="168" fontId="6" fillId="0" borderId="1" xfId="0" applyNumberFormat="1" applyFont="1" applyBorder="1"/>
    <xf numFmtId="171" fontId="6" fillId="0" borderId="0" xfId="0" applyNumberFormat="1" applyFont="1"/>
    <xf numFmtId="168" fontId="5" fillId="0" borderId="0" xfId="0" applyNumberFormat="1" applyFont="1"/>
    <xf numFmtId="165" fontId="6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0" fontId="5" fillId="0" borderId="0" xfId="0" applyNumberFormat="1" applyFont="1"/>
    <xf numFmtId="10" fontId="9" fillId="0" borderId="0" xfId="0" applyNumberFormat="1" applyFont="1"/>
    <xf numFmtId="1" fontId="0" fillId="0" borderId="0" xfId="0" applyNumberFormat="1"/>
    <xf numFmtId="49" fontId="6" fillId="0" borderId="0" xfId="0" applyNumberFormat="1" applyFont="1"/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tabSelected="1" workbookViewId="0"/>
  </sheetViews>
  <sheetFormatPr baseColWidth="10" defaultColWidth="8.83203125" defaultRowHeight="15" x14ac:dyDescent="0.2"/>
  <cols>
    <col min="1" max="1" width="26" customWidth="1"/>
    <col min="2" max="2" width="100" customWidth="1"/>
  </cols>
  <sheetData>
    <row r="1" spans="1:2" ht="20" x14ac:dyDescent="0.2">
      <c r="A1" s="1" t="s">
        <v>0</v>
      </c>
    </row>
    <row r="2" spans="1:2" x14ac:dyDescent="0.2">
      <c r="A2" s="2" t="s">
        <v>1</v>
      </c>
    </row>
    <row r="4" spans="1:2" ht="16" x14ac:dyDescent="0.2">
      <c r="A4" s="3" t="s">
        <v>2</v>
      </c>
      <c r="B4" s="4" t="s">
        <v>3</v>
      </c>
    </row>
    <row r="5" spans="1:2" ht="16" x14ac:dyDescent="0.2">
      <c r="A5" s="3" t="s">
        <v>4</v>
      </c>
      <c r="B5" s="4" t="str">
        <f>IF(All_Checks,"All checks pass","CHECK FAILURES - see Checks tab")</f>
        <v>All checks pass</v>
      </c>
    </row>
    <row r="6" spans="1:2" ht="16" x14ac:dyDescent="0.2">
      <c r="A6" s="3" t="s">
        <v>5</v>
      </c>
      <c r="B6" s="4" t="s">
        <v>6</v>
      </c>
    </row>
    <row r="7" spans="1:2" ht="16" x14ac:dyDescent="0.2">
      <c r="A7" s="3" t="s">
        <v>7</v>
      </c>
      <c r="B7" s="4" t="s">
        <v>8</v>
      </c>
    </row>
    <row r="8" spans="1:2" ht="16" x14ac:dyDescent="0.2">
      <c r="A8" s="3" t="s">
        <v>9</v>
      </c>
      <c r="B8" s="4" t="s">
        <v>10</v>
      </c>
    </row>
    <row r="9" spans="1:2" ht="16" x14ac:dyDescent="0.2">
      <c r="A9" s="3" t="s">
        <v>11</v>
      </c>
      <c r="B9" s="4" t="s">
        <v>12</v>
      </c>
    </row>
    <row r="10" spans="1:2" ht="16" x14ac:dyDescent="0.2">
      <c r="A10" s="3" t="s">
        <v>13</v>
      </c>
      <c r="B10" s="4" t="s">
        <v>14</v>
      </c>
    </row>
    <row r="12" spans="1:2" x14ac:dyDescent="0.2">
      <c r="A12" s="3" t="s">
        <v>15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 t="s">
        <v>21</v>
      </c>
    </row>
    <row r="16" spans="1:2" x14ac:dyDescent="0.2">
      <c r="A16" t="s">
        <v>22</v>
      </c>
      <c r="B16" t="s">
        <v>23</v>
      </c>
    </row>
    <row r="17" spans="1:2" x14ac:dyDescent="0.2">
      <c r="A17" t="s">
        <v>24</v>
      </c>
      <c r="B17" t="s">
        <v>25</v>
      </c>
    </row>
    <row r="18" spans="1:2" x14ac:dyDescent="0.2">
      <c r="A18" t="s">
        <v>26</v>
      </c>
      <c r="B18" t="s">
        <v>27</v>
      </c>
    </row>
    <row r="19" spans="1:2" x14ac:dyDescent="0.2">
      <c r="A19" t="s">
        <v>28</v>
      </c>
      <c r="B19" t="s">
        <v>29</v>
      </c>
    </row>
    <row r="20" spans="1:2" x14ac:dyDescent="0.2">
      <c r="A20" t="s">
        <v>30</v>
      </c>
      <c r="B20" t="s">
        <v>31</v>
      </c>
    </row>
    <row r="21" spans="1:2" x14ac:dyDescent="0.2">
      <c r="A21" t="s">
        <v>32</v>
      </c>
      <c r="B21" t="s">
        <v>33</v>
      </c>
    </row>
    <row r="22" spans="1:2" x14ac:dyDescent="0.2">
      <c r="A22" t="s">
        <v>34</v>
      </c>
      <c r="B22" t="s">
        <v>35</v>
      </c>
    </row>
    <row r="23" spans="1:2" x14ac:dyDescent="0.2">
      <c r="A23" t="s">
        <v>36</v>
      </c>
      <c r="B23" t="s">
        <v>37</v>
      </c>
    </row>
    <row r="24" spans="1:2" x14ac:dyDescent="0.2">
      <c r="A24" t="s">
        <v>38</v>
      </c>
      <c r="B24" t="s">
        <v>39</v>
      </c>
    </row>
    <row r="25" spans="1:2" x14ac:dyDescent="0.2">
      <c r="A25" t="s">
        <v>40</v>
      </c>
      <c r="B25" t="s">
        <v>41</v>
      </c>
    </row>
    <row r="26" spans="1:2" x14ac:dyDescent="0.2">
      <c r="A26" t="s">
        <v>42</v>
      </c>
      <c r="B26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showGridLines="0" workbookViewId="0"/>
  </sheetViews>
  <sheetFormatPr baseColWidth="10" defaultColWidth="8.83203125" defaultRowHeight="15" x14ac:dyDescent="0.2"/>
  <cols>
    <col min="1" max="1" width="50" customWidth="1"/>
    <col min="2" max="2" width="20" customWidth="1"/>
    <col min="3" max="3" width="14" customWidth="1"/>
  </cols>
  <sheetData>
    <row r="1" spans="1:3" x14ac:dyDescent="0.2">
      <c r="A1" s="3" t="s">
        <v>16</v>
      </c>
    </row>
    <row r="3" spans="1:3" x14ac:dyDescent="0.2">
      <c r="A3" t="s">
        <v>44</v>
      </c>
      <c r="B3" s="5">
        <f>Project_Capex</f>
        <v>425984000</v>
      </c>
      <c r="C3" t="s">
        <v>45</v>
      </c>
    </row>
    <row r="4" spans="1:3" x14ac:dyDescent="0.2">
      <c r="A4" t="s">
        <v>46</v>
      </c>
      <c r="B4" s="5">
        <f>Debt</f>
        <v>222404055.33628488</v>
      </c>
      <c r="C4" t="s">
        <v>45</v>
      </c>
    </row>
    <row r="5" spans="1:3" x14ac:dyDescent="0.2">
      <c r="A5" t="s">
        <v>47</v>
      </c>
      <c r="B5" s="6">
        <f>Gearing</f>
        <v>0.52209485646476128</v>
      </c>
      <c r="C5" t="s">
        <v>48</v>
      </c>
    </row>
    <row r="6" spans="1:3" x14ac:dyDescent="0.2">
      <c r="A6" t="s">
        <v>49</v>
      </c>
      <c r="B6" s="5">
        <f>ITC_Proceeds</f>
        <v>113049600</v>
      </c>
      <c r="C6" t="s">
        <v>45</v>
      </c>
    </row>
    <row r="7" spans="1:3" x14ac:dyDescent="0.2">
      <c r="A7" t="s">
        <v>50</v>
      </c>
      <c r="B7" s="5">
        <f>Equity</f>
        <v>114002227.59427696</v>
      </c>
      <c r="C7" t="s">
        <v>45</v>
      </c>
    </row>
    <row r="8" spans="1:3" x14ac:dyDescent="0.2">
      <c r="A8" t="s">
        <v>51</v>
      </c>
      <c r="B8" s="7">
        <f>Rate</f>
        <v>6.9599999999999995E-2</v>
      </c>
      <c r="C8" t="s">
        <v>48</v>
      </c>
    </row>
    <row r="9" spans="1:3" x14ac:dyDescent="0.2">
      <c r="A9" t="s">
        <v>52</v>
      </c>
      <c r="B9" s="8">
        <f>Min_DSCR_P50</f>
        <v>1.3499999999999999</v>
      </c>
      <c r="C9" t="s">
        <v>53</v>
      </c>
    </row>
    <row r="10" spans="1:3" x14ac:dyDescent="0.2">
      <c r="A10" t="s">
        <v>54</v>
      </c>
      <c r="B10" s="8">
        <f>Min_DSCR_P90</f>
        <v>1.2000632272820222</v>
      </c>
      <c r="C10" t="s">
        <v>53</v>
      </c>
    </row>
    <row r="11" spans="1:3" x14ac:dyDescent="0.2">
      <c r="A11" t="s">
        <v>55</v>
      </c>
      <c r="B11" s="8">
        <f>Min_DSCR_Op</f>
        <v>1.3499999999999999</v>
      </c>
      <c r="C11" t="s">
        <v>53</v>
      </c>
    </row>
    <row r="12" spans="1:3" x14ac:dyDescent="0.2">
      <c r="A12" t="s">
        <v>56</v>
      </c>
      <c r="B12" s="8">
        <f>LLCR</f>
        <v>1.3499999999999999</v>
      </c>
      <c r="C12" t="s">
        <v>53</v>
      </c>
    </row>
    <row r="13" spans="1:3" x14ac:dyDescent="0.2">
      <c r="A13" t="s">
        <v>57</v>
      </c>
      <c r="B13" s="8">
        <f>PLCR</f>
        <v>1.4601346066958907</v>
      </c>
      <c r="C13" t="s">
        <v>53</v>
      </c>
    </row>
    <row r="14" spans="1:3" x14ac:dyDescent="0.2">
      <c r="A14" t="s">
        <v>58</v>
      </c>
      <c r="B14" s="7">
        <f>Project_IRR</f>
        <v>7.4437961197233005E-2</v>
      </c>
      <c r="C14" t="s">
        <v>48</v>
      </c>
    </row>
    <row r="15" spans="1:3" x14ac:dyDescent="0.2">
      <c r="A15" t="s">
        <v>59</v>
      </c>
      <c r="B15" s="7">
        <f>Equity_IRR</f>
        <v>6.2792015908195609E-2</v>
      </c>
      <c r="C15" t="s">
        <v>48</v>
      </c>
    </row>
    <row r="16" spans="1:3" x14ac:dyDescent="0.2">
      <c r="A16" t="s">
        <v>60</v>
      </c>
      <c r="B16" s="7">
        <f>Equity_IRR_AT</f>
        <v>8.1350133555901039E-2</v>
      </c>
      <c r="C16" t="s">
        <v>48</v>
      </c>
    </row>
    <row r="17" spans="1:3" x14ac:dyDescent="0.2">
      <c r="A17" t="s">
        <v>61</v>
      </c>
      <c r="B17" s="5">
        <f>Gen_Y1_P50</f>
        <v>535483.03200000001</v>
      </c>
      <c r="C17" t="s">
        <v>62</v>
      </c>
    </row>
    <row r="18" spans="1:3" x14ac:dyDescent="0.2">
      <c r="A18" t="s">
        <v>63</v>
      </c>
      <c r="B18" s="6">
        <f>Net_CF_Y1</f>
        <v>0.305641</v>
      </c>
      <c r="C18" t="s">
        <v>48</v>
      </c>
    </row>
    <row r="19" spans="1:3" x14ac:dyDescent="0.2">
      <c r="A19" t="s">
        <v>64</v>
      </c>
      <c r="B19" s="5">
        <f>tCO2e_Avoided_Y1</f>
        <v>188070.73857517395</v>
      </c>
      <c r="C19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2" width="52" customWidth="1"/>
    <col min="3" max="3" width="14" customWidth="1"/>
    <col min="4" max="4" width="16" customWidth="1"/>
    <col min="5" max="5" width="13" customWidth="1"/>
    <col min="6" max="6" width="24" customWidth="1"/>
    <col min="7" max="7" width="60" customWidth="1"/>
    <col min="8" max="8" width="3" customWidth="1"/>
    <col min="9" max="11" width="12" customWidth="1"/>
  </cols>
  <sheetData>
    <row r="1" spans="1:11" ht="18" x14ac:dyDescent="0.2">
      <c r="A1" s="9" t="s">
        <v>18</v>
      </c>
    </row>
    <row r="2" spans="1:11" x14ac:dyDescent="0.2">
      <c r="A2" s="2" t="s">
        <v>66</v>
      </c>
    </row>
    <row r="3" spans="1:11" x14ac:dyDescent="0.2">
      <c r="I3" s="2" t="s">
        <v>67</v>
      </c>
    </row>
    <row r="4" spans="1:11" x14ac:dyDescent="0.2">
      <c r="A4" s="10" t="s">
        <v>68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/>
      <c r="I4" s="10" t="s">
        <v>75</v>
      </c>
      <c r="J4" s="10" t="s">
        <v>76</v>
      </c>
      <c r="K4" s="10" t="s">
        <v>77</v>
      </c>
    </row>
    <row r="5" spans="1:11" x14ac:dyDescent="0.2">
      <c r="A5" s="11" t="s">
        <v>78</v>
      </c>
      <c r="B5" s="11" t="s">
        <v>79</v>
      </c>
      <c r="C5" s="12">
        <v>200</v>
      </c>
      <c r="D5" s="2" t="s">
        <v>80</v>
      </c>
      <c r="E5" s="13" t="s">
        <v>81</v>
      </c>
      <c r="F5" s="2" t="s">
        <v>82</v>
      </c>
      <c r="G5" s="2"/>
    </row>
    <row r="6" spans="1:11" x14ac:dyDescent="0.2">
      <c r="A6" s="11" t="s">
        <v>78</v>
      </c>
      <c r="B6" s="11" t="s">
        <v>83</v>
      </c>
      <c r="C6" s="12">
        <v>1.34</v>
      </c>
      <c r="D6" s="2" t="s">
        <v>84</v>
      </c>
      <c r="E6" s="14" t="s">
        <v>85</v>
      </c>
      <c r="F6" s="2" t="s">
        <v>86</v>
      </c>
      <c r="G6" s="2"/>
    </row>
    <row r="7" spans="1:11" x14ac:dyDescent="0.2">
      <c r="A7" s="11" t="s">
        <v>78</v>
      </c>
      <c r="B7" s="11" t="s">
        <v>87</v>
      </c>
      <c r="C7" s="12">
        <v>100</v>
      </c>
      <c r="D7" s="2" t="s">
        <v>88</v>
      </c>
      <c r="E7" s="13" t="s">
        <v>81</v>
      </c>
      <c r="F7" s="2" t="s">
        <v>82</v>
      </c>
      <c r="G7" s="2"/>
    </row>
    <row r="8" spans="1:11" x14ac:dyDescent="0.2">
      <c r="A8" s="11" t="s">
        <v>78</v>
      </c>
      <c r="B8" s="11" t="s">
        <v>89</v>
      </c>
      <c r="C8" s="12">
        <v>4</v>
      </c>
      <c r="D8" s="2" t="s">
        <v>90</v>
      </c>
      <c r="E8" s="13" t="s">
        <v>81</v>
      </c>
      <c r="F8" s="2" t="s">
        <v>82</v>
      </c>
      <c r="G8" s="2"/>
    </row>
    <row r="9" spans="1:11" x14ac:dyDescent="0.2">
      <c r="A9" s="11" t="s">
        <v>78</v>
      </c>
      <c r="B9" s="11" t="s">
        <v>91</v>
      </c>
      <c r="C9" s="12">
        <v>30</v>
      </c>
      <c r="D9" s="2" t="s">
        <v>92</v>
      </c>
      <c r="E9" s="14" t="s">
        <v>85</v>
      </c>
      <c r="F9" s="2" t="s">
        <v>86</v>
      </c>
      <c r="G9" s="2" t="s">
        <v>93</v>
      </c>
    </row>
    <row r="10" spans="1:11" x14ac:dyDescent="0.2">
      <c r="A10" s="11" t="s">
        <v>78</v>
      </c>
      <c r="B10" s="11" t="s">
        <v>94</v>
      </c>
      <c r="C10" s="12">
        <v>15</v>
      </c>
      <c r="D10" s="2" t="s">
        <v>92</v>
      </c>
      <c r="E10" s="14" t="s">
        <v>85</v>
      </c>
      <c r="F10" s="2" t="s">
        <v>95</v>
      </c>
      <c r="G10" s="2" t="s">
        <v>96</v>
      </c>
    </row>
    <row r="11" spans="1:11" x14ac:dyDescent="0.2">
      <c r="A11" s="11" t="s">
        <v>24</v>
      </c>
      <c r="B11" s="11" t="s">
        <v>97</v>
      </c>
      <c r="C11" s="15">
        <v>0.32900000000000001</v>
      </c>
      <c r="D11" s="2" t="s">
        <v>98</v>
      </c>
      <c r="E11" s="14" t="s">
        <v>85</v>
      </c>
      <c r="F11" s="2" t="s">
        <v>86</v>
      </c>
      <c r="G11" s="2" t="s">
        <v>99</v>
      </c>
    </row>
    <row r="12" spans="1:11" x14ac:dyDescent="0.2">
      <c r="A12" s="11" t="s">
        <v>24</v>
      </c>
      <c r="B12" s="11" t="s">
        <v>100</v>
      </c>
      <c r="C12" s="15">
        <v>7.0999999999999994E-2</v>
      </c>
      <c r="D12" s="2" t="s">
        <v>101</v>
      </c>
      <c r="E12" s="14" t="s">
        <v>85</v>
      </c>
      <c r="F12" s="2" t="s">
        <v>102</v>
      </c>
      <c r="G12" s="2" t="s">
        <v>103</v>
      </c>
    </row>
    <row r="13" spans="1:11" x14ac:dyDescent="0.2">
      <c r="A13" s="11" t="s">
        <v>24</v>
      </c>
      <c r="B13" s="11" t="s">
        <v>104</v>
      </c>
      <c r="C13" s="15">
        <v>7.0000000000000001E-3</v>
      </c>
      <c r="D13" s="2" t="s">
        <v>105</v>
      </c>
      <c r="E13" s="14" t="s">
        <v>85</v>
      </c>
      <c r="F13" s="2" t="s">
        <v>86</v>
      </c>
      <c r="G13" s="2"/>
    </row>
    <row r="14" spans="1:11" x14ac:dyDescent="0.2">
      <c r="A14" s="11" t="s">
        <v>24</v>
      </c>
      <c r="B14" s="11" t="s">
        <v>106</v>
      </c>
      <c r="C14" s="15">
        <v>0.06</v>
      </c>
      <c r="D14" s="2" t="s">
        <v>107</v>
      </c>
      <c r="E14" s="16" t="s">
        <v>108</v>
      </c>
      <c r="F14" s="2" t="s">
        <v>109</v>
      </c>
      <c r="G14" s="2" t="s">
        <v>110</v>
      </c>
    </row>
    <row r="15" spans="1:11" x14ac:dyDescent="0.2">
      <c r="A15" s="11" t="s">
        <v>24</v>
      </c>
      <c r="B15" s="11" t="s">
        <v>111</v>
      </c>
      <c r="C15" s="12">
        <v>1.2816000000000001</v>
      </c>
      <c r="D15" s="2" t="s">
        <v>112</v>
      </c>
      <c r="E15" s="17" t="s">
        <v>113</v>
      </c>
      <c r="F15" s="2" t="s">
        <v>114</v>
      </c>
      <c r="G15" s="2"/>
    </row>
    <row r="16" spans="1:11" x14ac:dyDescent="0.2">
      <c r="A16" s="11" t="s">
        <v>24</v>
      </c>
      <c r="B16" s="11" t="s">
        <v>115</v>
      </c>
      <c r="C16" s="12">
        <v>2.3262999999999998</v>
      </c>
      <c r="D16" s="2" t="s">
        <v>112</v>
      </c>
      <c r="E16" s="17" t="s">
        <v>113</v>
      </c>
      <c r="F16" s="2" t="s">
        <v>114</v>
      </c>
      <c r="G16" s="2"/>
    </row>
    <row r="17" spans="1:7" x14ac:dyDescent="0.2">
      <c r="A17" s="11" t="s">
        <v>116</v>
      </c>
      <c r="B17" s="11" t="s">
        <v>117</v>
      </c>
      <c r="C17" s="18">
        <v>1.38</v>
      </c>
      <c r="D17" s="2" t="s">
        <v>118</v>
      </c>
      <c r="E17" s="14" t="s">
        <v>85</v>
      </c>
      <c r="F17" s="2" t="s">
        <v>102</v>
      </c>
      <c r="G17" s="2"/>
    </row>
    <row r="18" spans="1:7" x14ac:dyDescent="0.2">
      <c r="A18" s="11" t="s">
        <v>116</v>
      </c>
      <c r="B18" s="11" t="s">
        <v>119</v>
      </c>
      <c r="C18" s="12">
        <v>334</v>
      </c>
      <c r="D18" s="2" t="s">
        <v>120</v>
      </c>
      <c r="E18" s="14" t="s">
        <v>85</v>
      </c>
      <c r="F18" s="2" t="s">
        <v>121</v>
      </c>
      <c r="G18" s="2"/>
    </row>
    <row r="19" spans="1:7" x14ac:dyDescent="0.2">
      <c r="A19" s="11" t="s">
        <v>116</v>
      </c>
      <c r="B19" s="11" t="s">
        <v>122</v>
      </c>
      <c r="C19" s="15">
        <v>0.04</v>
      </c>
      <c r="D19" s="2" t="s">
        <v>123</v>
      </c>
      <c r="E19" s="16" t="s">
        <v>108</v>
      </c>
      <c r="F19" s="2" t="s">
        <v>109</v>
      </c>
      <c r="G19" s="2"/>
    </row>
    <row r="20" spans="1:7" x14ac:dyDescent="0.2">
      <c r="A20" s="11" t="s">
        <v>116</v>
      </c>
      <c r="B20" s="11" t="s">
        <v>124</v>
      </c>
      <c r="C20" s="12">
        <v>1</v>
      </c>
      <c r="D20" s="2" t="s">
        <v>92</v>
      </c>
      <c r="E20" s="13" t="s">
        <v>81</v>
      </c>
      <c r="F20" s="2" t="s">
        <v>82</v>
      </c>
      <c r="G20" s="2"/>
    </row>
    <row r="21" spans="1:7" x14ac:dyDescent="0.2">
      <c r="A21" s="11" t="s">
        <v>116</v>
      </c>
      <c r="B21" s="11" t="s">
        <v>125</v>
      </c>
      <c r="C21" s="15">
        <v>0.5</v>
      </c>
      <c r="D21" s="2" t="s">
        <v>48</v>
      </c>
      <c r="E21" s="16" t="s">
        <v>108</v>
      </c>
      <c r="F21" s="2" t="s">
        <v>109</v>
      </c>
      <c r="G21" s="2"/>
    </row>
    <row r="22" spans="1:7" x14ac:dyDescent="0.2">
      <c r="A22" s="11" t="s">
        <v>126</v>
      </c>
      <c r="B22" s="11" t="s">
        <v>127</v>
      </c>
      <c r="C22" s="18">
        <v>22</v>
      </c>
      <c r="D22" s="2" t="s">
        <v>128</v>
      </c>
      <c r="E22" s="14" t="s">
        <v>85</v>
      </c>
      <c r="F22" s="2" t="s">
        <v>86</v>
      </c>
      <c r="G22" s="2" t="s">
        <v>129</v>
      </c>
    </row>
    <row r="23" spans="1:7" x14ac:dyDescent="0.2">
      <c r="A23" s="11" t="s">
        <v>126</v>
      </c>
      <c r="B23" s="11" t="s">
        <v>130</v>
      </c>
      <c r="C23" s="15">
        <v>2.5000000000000001E-2</v>
      </c>
      <c r="D23" s="2" t="s">
        <v>131</v>
      </c>
      <c r="E23" s="14" t="s">
        <v>85</v>
      </c>
      <c r="F23" s="2" t="s">
        <v>95</v>
      </c>
      <c r="G23" s="2"/>
    </row>
    <row r="24" spans="1:7" x14ac:dyDescent="0.2">
      <c r="A24" s="11" t="s">
        <v>126</v>
      </c>
      <c r="B24" s="11" t="s">
        <v>132</v>
      </c>
      <c r="C24" s="19">
        <v>500000</v>
      </c>
      <c r="D24" s="2" t="s">
        <v>133</v>
      </c>
      <c r="E24" s="16" t="s">
        <v>108</v>
      </c>
      <c r="F24" s="2" t="s">
        <v>109</v>
      </c>
      <c r="G24" s="2"/>
    </row>
    <row r="25" spans="1:7" x14ac:dyDescent="0.2">
      <c r="A25" s="11" t="s">
        <v>126</v>
      </c>
      <c r="B25" s="11" t="s">
        <v>134</v>
      </c>
      <c r="C25" s="15">
        <v>2.5000000000000001E-2</v>
      </c>
      <c r="D25" s="2" t="s">
        <v>105</v>
      </c>
      <c r="E25" s="16" t="s">
        <v>108</v>
      </c>
      <c r="F25" s="2" t="s">
        <v>109</v>
      </c>
      <c r="G25" s="2"/>
    </row>
    <row r="26" spans="1:7" x14ac:dyDescent="0.2">
      <c r="A26" s="11" t="s">
        <v>26</v>
      </c>
      <c r="B26" s="11" t="s">
        <v>135</v>
      </c>
      <c r="C26" s="18">
        <v>51</v>
      </c>
      <c r="D26" s="2" t="s">
        <v>136</v>
      </c>
      <c r="E26" s="16" t="s">
        <v>108</v>
      </c>
      <c r="F26" s="2" t="s">
        <v>102</v>
      </c>
      <c r="G26" s="2" t="s">
        <v>137</v>
      </c>
    </row>
    <row r="27" spans="1:7" x14ac:dyDescent="0.2">
      <c r="A27" s="11" t="s">
        <v>26</v>
      </c>
      <c r="B27" s="11" t="s">
        <v>138</v>
      </c>
      <c r="C27" s="15">
        <v>0</v>
      </c>
      <c r="D27" s="2" t="s">
        <v>105</v>
      </c>
      <c r="E27" s="16" t="s">
        <v>108</v>
      </c>
      <c r="F27" s="2" t="s">
        <v>109</v>
      </c>
      <c r="G27" s="2"/>
    </row>
    <row r="28" spans="1:7" x14ac:dyDescent="0.2">
      <c r="A28" s="11" t="s">
        <v>26</v>
      </c>
      <c r="B28" s="11" t="s">
        <v>139</v>
      </c>
      <c r="C28" s="12">
        <v>20</v>
      </c>
      <c r="D28" s="2" t="s">
        <v>92</v>
      </c>
      <c r="E28" s="16" t="s">
        <v>108</v>
      </c>
      <c r="F28" s="2" t="s">
        <v>109</v>
      </c>
      <c r="G28" s="2"/>
    </row>
    <row r="29" spans="1:7" x14ac:dyDescent="0.2">
      <c r="A29" s="11" t="s">
        <v>26</v>
      </c>
      <c r="B29" s="11" t="s">
        <v>140</v>
      </c>
      <c r="C29" s="18">
        <v>24</v>
      </c>
      <c r="D29" s="2" t="s">
        <v>136</v>
      </c>
      <c r="E29" s="14" t="s">
        <v>85</v>
      </c>
      <c r="F29" s="2" t="s">
        <v>102</v>
      </c>
      <c r="G29" s="2" t="s">
        <v>141</v>
      </c>
    </row>
    <row r="30" spans="1:7" x14ac:dyDescent="0.2">
      <c r="A30" s="11" t="s">
        <v>26</v>
      </c>
      <c r="B30" s="11" t="s">
        <v>142</v>
      </c>
      <c r="C30" s="15">
        <v>0.02</v>
      </c>
      <c r="D30" s="2" t="s">
        <v>105</v>
      </c>
      <c r="E30" s="16" t="s">
        <v>108</v>
      </c>
      <c r="F30" s="2" t="s">
        <v>109</v>
      </c>
      <c r="G30" s="2"/>
    </row>
    <row r="31" spans="1:7" x14ac:dyDescent="0.2">
      <c r="A31" s="11" t="s">
        <v>26</v>
      </c>
      <c r="B31" s="11" t="s">
        <v>143</v>
      </c>
      <c r="C31" s="18">
        <v>12</v>
      </c>
      <c r="D31" s="2" t="s">
        <v>144</v>
      </c>
      <c r="E31" s="13" t="s">
        <v>81</v>
      </c>
      <c r="F31" s="2" t="s">
        <v>109</v>
      </c>
      <c r="G31" s="2" t="s">
        <v>145</v>
      </c>
    </row>
    <row r="32" spans="1:7" x14ac:dyDescent="0.2">
      <c r="A32" s="11" t="s">
        <v>26</v>
      </c>
      <c r="B32" s="11" t="s">
        <v>146</v>
      </c>
      <c r="C32" s="12">
        <v>15</v>
      </c>
      <c r="D32" s="2" t="s">
        <v>92</v>
      </c>
      <c r="E32" s="13" t="s">
        <v>81</v>
      </c>
      <c r="F32" s="2" t="s">
        <v>82</v>
      </c>
      <c r="G32" s="2"/>
    </row>
    <row r="33" spans="1:11" x14ac:dyDescent="0.2">
      <c r="A33" s="11" t="s">
        <v>147</v>
      </c>
      <c r="B33" s="11" t="s">
        <v>148</v>
      </c>
      <c r="C33" s="15">
        <v>0.3</v>
      </c>
      <c r="D33" s="2" t="s">
        <v>149</v>
      </c>
      <c r="E33" s="13" t="s">
        <v>81</v>
      </c>
      <c r="F33" s="2" t="s">
        <v>109</v>
      </c>
      <c r="G33" s="2" t="s">
        <v>150</v>
      </c>
    </row>
    <row r="34" spans="1:11" x14ac:dyDescent="0.2">
      <c r="A34" s="11" t="s">
        <v>147</v>
      </c>
      <c r="B34" s="11" t="s">
        <v>151</v>
      </c>
      <c r="C34" s="15">
        <v>0.3</v>
      </c>
      <c r="D34" s="2" t="s">
        <v>152</v>
      </c>
      <c r="E34" s="13" t="s">
        <v>81</v>
      </c>
      <c r="F34" s="2" t="s">
        <v>109</v>
      </c>
      <c r="G34" s="2"/>
    </row>
    <row r="35" spans="1:11" x14ac:dyDescent="0.2">
      <c r="A35" s="11" t="s">
        <v>147</v>
      </c>
      <c r="B35" s="11" t="s">
        <v>153</v>
      </c>
      <c r="C35" s="18">
        <v>0.92</v>
      </c>
      <c r="D35" s="2" t="s">
        <v>154</v>
      </c>
      <c r="E35" s="16" t="s">
        <v>108</v>
      </c>
      <c r="F35" s="2" t="s">
        <v>109</v>
      </c>
      <c r="G35" s="2"/>
    </row>
    <row r="36" spans="1:11" x14ac:dyDescent="0.2">
      <c r="A36" s="11" t="s">
        <v>36</v>
      </c>
      <c r="B36" s="11" t="s">
        <v>155</v>
      </c>
      <c r="C36" s="15">
        <v>0.21</v>
      </c>
      <c r="D36" s="2" t="s">
        <v>48</v>
      </c>
      <c r="E36" s="14" t="s">
        <v>85</v>
      </c>
      <c r="F36" s="2" t="s">
        <v>156</v>
      </c>
      <c r="G36" s="2" t="s">
        <v>157</v>
      </c>
    </row>
    <row r="37" spans="1:11" x14ac:dyDescent="0.2">
      <c r="A37" s="11" t="s">
        <v>36</v>
      </c>
      <c r="B37" s="11" t="s">
        <v>158</v>
      </c>
      <c r="C37" s="15">
        <v>0.2</v>
      </c>
      <c r="D37" s="2" t="s">
        <v>159</v>
      </c>
      <c r="E37" s="14" t="s">
        <v>85</v>
      </c>
      <c r="F37" s="2" t="s">
        <v>160</v>
      </c>
      <c r="G37" s="2"/>
    </row>
    <row r="38" spans="1:11" x14ac:dyDescent="0.2">
      <c r="A38" s="11" t="s">
        <v>36</v>
      </c>
      <c r="B38" s="11" t="s">
        <v>158</v>
      </c>
      <c r="C38" s="15">
        <v>0.32</v>
      </c>
      <c r="D38" s="2" t="s">
        <v>159</v>
      </c>
      <c r="E38" s="14" t="s">
        <v>85</v>
      </c>
      <c r="F38" s="2" t="s">
        <v>160</v>
      </c>
      <c r="G38" s="2"/>
    </row>
    <row r="39" spans="1:11" x14ac:dyDescent="0.2">
      <c r="A39" s="11" t="s">
        <v>36</v>
      </c>
      <c r="B39" s="11" t="s">
        <v>158</v>
      </c>
      <c r="C39" s="15">
        <v>0.192</v>
      </c>
      <c r="D39" s="2" t="s">
        <v>159</v>
      </c>
      <c r="E39" s="14" t="s">
        <v>85</v>
      </c>
      <c r="F39" s="2" t="s">
        <v>160</v>
      </c>
      <c r="G39" s="2"/>
    </row>
    <row r="40" spans="1:11" x14ac:dyDescent="0.2">
      <c r="A40" s="11" t="s">
        <v>36</v>
      </c>
      <c r="B40" s="11" t="s">
        <v>158</v>
      </c>
      <c r="C40" s="15">
        <v>0.1152</v>
      </c>
      <c r="D40" s="2" t="s">
        <v>159</v>
      </c>
      <c r="E40" s="14" t="s">
        <v>85</v>
      </c>
      <c r="F40" s="2" t="s">
        <v>160</v>
      </c>
      <c r="G40" s="2"/>
    </row>
    <row r="41" spans="1:11" x14ac:dyDescent="0.2">
      <c r="A41" s="11" t="s">
        <v>36</v>
      </c>
      <c r="B41" s="11" t="s">
        <v>158</v>
      </c>
      <c r="C41" s="15">
        <v>0.1152</v>
      </c>
      <c r="D41" s="2" t="s">
        <v>159</v>
      </c>
      <c r="E41" s="14" t="s">
        <v>85</v>
      </c>
      <c r="F41" s="2" t="s">
        <v>160</v>
      </c>
      <c r="G41" s="2"/>
    </row>
    <row r="42" spans="1:11" x14ac:dyDescent="0.2">
      <c r="A42" s="11" t="s">
        <v>36</v>
      </c>
      <c r="B42" s="11" t="s">
        <v>158</v>
      </c>
      <c r="C42" s="15">
        <v>5.7599999999999998E-2</v>
      </c>
      <c r="D42" s="2" t="s">
        <v>159</v>
      </c>
      <c r="E42" s="14" t="s">
        <v>85</v>
      </c>
      <c r="F42" s="2" t="s">
        <v>160</v>
      </c>
      <c r="G42" s="2"/>
    </row>
    <row r="43" spans="1:11" x14ac:dyDescent="0.2">
      <c r="A43" s="11" t="s">
        <v>36</v>
      </c>
      <c r="B43" s="11" t="s">
        <v>161</v>
      </c>
      <c r="C43" s="12">
        <v>0.5</v>
      </c>
      <c r="D43" s="2" t="s">
        <v>84</v>
      </c>
      <c r="E43" s="14" t="s">
        <v>85</v>
      </c>
      <c r="F43" s="2" t="s">
        <v>156</v>
      </c>
      <c r="G43" s="2"/>
    </row>
    <row r="44" spans="1:11" x14ac:dyDescent="0.2">
      <c r="A44" s="11" t="s">
        <v>36</v>
      </c>
      <c r="B44" s="11" t="s">
        <v>162</v>
      </c>
      <c r="C44" s="15">
        <v>0.08</v>
      </c>
      <c r="D44" s="2" t="s">
        <v>48</v>
      </c>
      <c r="E44" s="16" t="s">
        <v>108</v>
      </c>
      <c r="F44" s="2" t="s">
        <v>109</v>
      </c>
      <c r="G44" s="2" t="s">
        <v>163</v>
      </c>
    </row>
    <row r="45" spans="1:11" x14ac:dyDescent="0.2">
      <c r="A45" s="11" t="s">
        <v>164</v>
      </c>
      <c r="B45" s="11" t="s">
        <v>165</v>
      </c>
      <c r="C45" s="15">
        <v>5.21E-2</v>
      </c>
      <c r="D45" s="2" t="s">
        <v>48</v>
      </c>
      <c r="E45" s="14" t="s">
        <v>85</v>
      </c>
      <c r="F45" s="2" t="s">
        <v>166</v>
      </c>
      <c r="G45" s="2"/>
    </row>
    <row r="46" spans="1:11" x14ac:dyDescent="0.2">
      <c r="A46" s="11" t="s">
        <v>164</v>
      </c>
      <c r="B46" s="11" t="s">
        <v>167</v>
      </c>
      <c r="C46" s="15">
        <v>1.7500000000000002E-2</v>
      </c>
      <c r="D46" s="2" t="s">
        <v>48</v>
      </c>
      <c r="E46" s="16" t="s">
        <v>108</v>
      </c>
      <c r="F46" s="2" t="s">
        <v>109</v>
      </c>
      <c r="G46" s="2"/>
    </row>
    <row r="47" spans="1:11" x14ac:dyDescent="0.2">
      <c r="A47" s="11" t="s">
        <v>164</v>
      </c>
      <c r="B47" s="11" t="s">
        <v>168</v>
      </c>
      <c r="C47" s="20">
        <f>CHOOSE(Case_Select,I47,J47,K47)</f>
        <v>0</v>
      </c>
      <c r="D47" s="2" t="s">
        <v>48</v>
      </c>
      <c r="E47" s="13" t="s">
        <v>81</v>
      </c>
      <c r="F47" s="2" t="s">
        <v>109</v>
      </c>
      <c r="G47" s="2"/>
      <c r="I47" s="15">
        <v>0</v>
      </c>
      <c r="J47" s="15">
        <v>0.01</v>
      </c>
      <c r="K47" s="15">
        <v>0.02</v>
      </c>
    </row>
    <row r="48" spans="1:11" x14ac:dyDescent="0.2">
      <c r="A48" s="11" t="s">
        <v>164</v>
      </c>
      <c r="B48" s="11" t="s">
        <v>169</v>
      </c>
      <c r="C48" s="12">
        <v>18</v>
      </c>
      <c r="D48" s="2" t="s">
        <v>92</v>
      </c>
      <c r="E48" s="16" t="s">
        <v>108</v>
      </c>
      <c r="F48" s="2" t="s">
        <v>109</v>
      </c>
      <c r="G48" s="2" t="s">
        <v>170</v>
      </c>
    </row>
    <row r="49" spans="1:11" x14ac:dyDescent="0.2">
      <c r="A49" s="11" t="s">
        <v>164</v>
      </c>
      <c r="B49" s="11" t="s">
        <v>171</v>
      </c>
      <c r="C49" s="21">
        <v>1.35</v>
      </c>
      <c r="D49" s="2" t="s">
        <v>53</v>
      </c>
      <c r="E49" s="13" t="s">
        <v>81</v>
      </c>
      <c r="F49" s="2" t="s">
        <v>82</v>
      </c>
      <c r="G49" s="2"/>
    </row>
    <row r="50" spans="1:11" x14ac:dyDescent="0.2">
      <c r="A50" s="11" t="s">
        <v>164</v>
      </c>
      <c r="B50" s="11" t="s">
        <v>172</v>
      </c>
      <c r="C50" s="21">
        <v>1</v>
      </c>
      <c r="D50" s="2" t="s">
        <v>53</v>
      </c>
      <c r="E50" s="13" t="s">
        <v>81</v>
      </c>
      <c r="F50" s="2" t="s">
        <v>82</v>
      </c>
      <c r="G50" s="2"/>
    </row>
    <row r="51" spans="1:11" x14ac:dyDescent="0.2">
      <c r="A51" s="11" t="s">
        <v>164</v>
      </c>
      <c r="B51" s="11" t="s">
        <v>173</v>
      </c>
      <c r="C51" s="21">
        <v>1.1499999999999999</v>
      </c>
      <c r="D51" s="2" t="s">
        <v>53</v>
      </c>
      <c r="E51" s="13" t="s">
        <v>81</v>
      </c>
      <c r="F51" s="2" t="s">
        <v>109</v>
      </c>
      <c r="G51" s="2"/>
    </row>
    <row r="52" spans="1:11" x14ac:dyDescent="0.2">
      <c r="A52" s="11" t="s">
        <v>164</v>
      </c>
      <c r="B52" s="11" t="s">
        <v>174</v>
      </c>
      <c r="C52" s="21">
        <v>1.05</v>
      </c>
      <c r="D52" s="2" t="s">
        <v>53</v>
      </c>
      <c r="E52" s="13" t="s">
        <v>81</v>
      </c>
      <c r="F52" s="2" t="s">
        <v>109</v>
      </c>
      <c r="G52" s="2"/>
    </row>
    <row r="53" spans="1:11" x14ac:dyDescent="0.2">
      <c r="A53" s="11" t="s">
        <v>164</v>
      </c>
      <c r="B53" s="11" t="s">
        <v>175</v>
      </c>
      <c r="C53" s="15">
        <v>0.7</v>
      </c>
      <c r="D53" s="2" t="s">
        <v>48</v>
      </c>
      <c r="E53" s="16" t="s">
        <v>108</v>
      </c>
      <c r="F53" s="2" t="s">
        <v>109</v>
      </c>
      <c r="G53" s="2"/>
    </row>
    <row r="54" spans="1:11" x14ac:dyDescent="0.2">
      <c r="A54" s="11" t="s">
        <v>164</v>
      </c>
      <c r="B54" s="11" t="s">
        <v>176</v>
      </c>
      <c r="C54" s="15">
        <v>1.4999999999999999E-2</v>
      </c>
      <c r="D54" s="2" t="s">
        <v>177</v>
      </c>
      <c r="E54" s="16" t="s">
        <v>108</v>
      </c>
      <c r="F54" s="2" t="s">
        <v>109</v>
      </c>
      <c r="G54" s="2"/>
    </row>
    <row r="55" spans="1:11" x14ac:dyDescent="0.2">
      <c r="A55" s="11" t="s">
        <v>164</v>
      </c>
      <c r="B55" s="11" t="s">
        <v>178</v>
      </c>
      <c r="C55" s="12">
        <v>6</v>
      </c>
      <c r="D55" s="2" t="s">
        <v>179</v>
      </c>
      <c r="E55" s="16" t="s">
        <v>108</v>
      </c>
      <c r="F55" s="2" t="s">
        <v>109</v>
      </c>
      <c r="G55" s="2"/>
    </row>
    <row r="56" spans="1:11" x14ac:dyDescent="0.2">
      <c r="A56" s="11" t="s">
        <v>164</v>
      </c>
      <c r="B56" s="11" t="s">
        <v>180</v>
      </c>
      <c r="C56" s="20">
        <f>CHOOSE(Case_Select,I56,J56,K56)</f>
        <v>0</v>
      </c>
      <c r="D56" s="2" t="s">
        <v>123</v>
      </c>
      <c r="E56" s="13" t="s">
        <v>81</v>
      </c>
      <c r="F56" s="2" t="s">
        <v>109</v>
      </c>
      <c r="G56" s="2"/>
      <c r="I56" s="15">
        <v>0</v>
      </c>
      <c r="J56" s="15">
        <v>0.1</v>
      </c>
      <c r="K56" s="15">
        <v>0.2</v>
      </c>
    </row>
    <row r="57" spans="1:11" x14ac:dyDescent="0.2">
      <c r="A57" s="11" t="s">
        <v>164</v>
      </c>
      <c r="B57" s="11" t="s">
        <v>181</v>
      </c>
      <c r="C57" s="20">
        <f>CHOOSE(Case_Select,I57,J57,K57)</f>
        <v>0</v>
      </c>
      <c r="D57" s="2" t="s">
        <v>48</v>
      </c>
      <c r="E57" s="13" t="s">
        <v>81</v>
      </c>
      <c r="F57" s="2" t="s">
        <v>109</v>
      </c>
      <c r="G57" s="2"/>
      <c r="I57" s="15">
        <v>0</v>
      </c>
      <c r="J57" s="15">
        <v>-0.25</v>
      </c>
      <c r="K57" s="15">
        <v>-0.5</v>
      </c>
    </row>
    <row r="58" spans="1:11" x14ac:dyDescent="0.2">
      <c r="A58" s="11" t="s">
        <v>164</v>
      </c>
      <c r="B58" s="11" t="s">
        <v>182</v>
      </c>
      <c r="C58" s="22">
        <f>CHOOSE(Case_Select,I58,J58,K58)</f>
        <v>0</v>
      </c>
      <c r="D58" s="2" t="s">
        <v>112</v>
      </c>
      <c r="E58" s="13" t="s">
        <v>81</v>
      </c>
      <c r="F58" s="2" t="s">
        <v>82</v>
      </c>
      <c r="G58" s="2"/>
      <c r="I58" s="12">
        <v>0</v>
      </c>
      <c r="J58" s="12">
        <v>1.2816000000000001</v>
      </c>
      <c r="K58" s="12">
        <v>2.3262999999999998</v>
      </c>
    </row>
    <row r="59" spans="1:11" x14ac:dyDescent="0.2">
      <c r="A59" s="11" t="s">
        <v>183</v>
      </c>
      <c r="B59" s="11" t="s">
        <v>184</v>
      </c>
      <c r="C59" s="12">
        <v>774.3</v>
      </c>
      <c r="D59" s="2" t="s">
        <v>185</v>
      </c>
      <c r="E59" s="14" t="s">
        <v>85</v>
      </c>
      <c r="F59" s="2" t="s">
        <v>186</v>
      </c>
      <c r="G59" s="2" t="s">
        <v>187</v>
      </c>
    </row>
    <row r="60" spans="1:11" x14ac:dyDescent="0.2">
      <c r="A60" s="11" t="s">
        <v>188</v>
      </c>
      <c r="B60" s="11" t="s">
        <v>189</v>
      </c>
      <c r="C60" s="12">
        <v>1</v>
      </c>
      <c r="D60" s="2" t="s">
        <v>190</v>
      </c>
      <c r="E60" s="13" t="s">
        <v>81</v>
      </c>
      <c r="F60" s="2" t="s">
        <v>82</v>
      </c>
      <c r="G60" s="2" t="s">
        <v>191</v>
      </c>
    </row>
    <row r="61" spans="1:11" x14ac:dyDescent="0.2">
      <c r="A61" s="11" t="s">
        <v>192</v>
      </c>
      <c r="B61" s="11" t="s">
        <v>193</v>
      </c>
      <c r="C61" s="19">
        <v>8760</v>
      </c>
      <c r="D61" s="2" t="s">
        <v>90</v>
      </c>
      <c r="E61" s="17" t="s">
        <v>113</v>
      </c>
      <c r="F61" s="2" t="s">
        <v>194</v>
      </c>
      <c r="G61" s="2"/>
    </row>
    <row r="62" spans="1:11" x14ac:dyDescent="0.2">
      <c r="A62" s="11" t="s">
        <v>192</v>
      </c>
      <c r="B62" s="11" t="s">
        <v>195</v>
      </c>
      <c r="C62" s="12">
        <v>12</v>
      </c>
      <c r="D62" s="2" t="s">
        <v>196</v>
      </c>
      <c r="E62" s="17" t="s">
        <v>113</v>
      </c>
      <c r="F62" s="2" t="s">
        <v>194</v>
      </c>
      <c r="G62" s="2"/>
    </row>
    <row r="63" spans="1:11" x14ac:dyDescent="0.2">
      <c r="A63" s="11" t="s">
        <v>192</v>
      </c>
      <c r="B63" s="11" t="s">
        <v>197</v>
      </c>
      <c r="C63" s="19">
        <v>1000</v>
      </c>
      <c r="D63" s="2" t="s">
        <v>84</v>
      </c>
      <c r="E63" s="17" t="s">
        <v>113</v>
      </c>
      <c r="F63" s="2" t="s">
        <v>194</v>
      </c>
      <c r="G63" s="2"/>
    </row>
    <row r="64" spans="1:11" x14ac:dyDescent="0.2">
      <c r="A64" s="11" t="s">
        <v>192</v>
      </c>
      <c r="B64" s="11" t="s">
        <v>198</v>
      </c>
      <c r="C64" s="19">
        <v>1000</v>
      </c>
      <c r="D64" s="2" t="s">
        <v>84</v>
      </c>
      <c r="E64" s="17" t="s">
        <v>113</v>
      </c>
      <c r="F64" s="2" t="s">
        <v>194</v>
      </c>
      <c r="G64" s="2"/>
    </row>
    <row r="65" spans="1:7" x14ac:dyDescent="0.2">
      <c r="A65" s="11" t="s">
        <v>192</v>
      </c>
      <c r="B65" s="11" t="s">
        <v>199</v>
      </c>
      <c r="C65" s="19">
        <v>1000</v>
      </c>
      <c r="D65" s="2" t="s">
        <v>84</v>
      </c>
      <c r="E65" s="17" t="s">
        <v>113</v>
      </c>
      <c r="F65" s="2" t="s">
        <v>194</v>
      </c>
      <c r="G65" s="2"/>
    </row>
    <row r="66" spans="1:7" x14ac:dyDescent="0.2">
      <c r="A66" s="11" t="s">
        <v>192</v>
      </c>
      <c r="B66" s="11" t="s">
        <v>200</v>
      </c>
      <c r="C66" s="19">
        <v>2204.62</v>
      </c>
      <c r="D66" s="2" t="s">
        <v>84</v>
      </c>
      <c r="E66" s="17" t="s">
        <v>113</v>
      </c>
      <c r="F66" s="2" t="s">
        <v>194</v>
      </c>
      <c r="G66" s="2"/>
    </row>
    <row r="67" spans="1:7" x14ac:dyDescent="0.2">
      <c r="A67" s="11" t="s">
        <v>192</v>
      </c>
      <c r="B67" s="11" t="s">
        <v>201</v>
      </c>
      <c r="C67" s="23">
        <v>9.9999999999999995E-7</v>
      </c>
      <c r="D67" s="2" t="s">
        <v>45</v>
      </c>
      <c r="E67" s="17" t="s">
        <v>113</v>
      </c>
      <c r="F67" s="2" t="s">
        <v>194</v>
      </c>
      <c r="G6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2" width="110" customWidth="1"/>
    <col min="3" max="3" width="70" customWidth="1"/>
    <col min="4" max="4" width="12" customWidth="1"/>
  </cols>
  <sheetData>
    <row r="1" spans="1:4" ht="18" x14ac:dyDescent="0.2">
      <c r="A1" s="9" t="s">
        <v>20</v>
      </c>
    </row>
    <row r="3" spans="1:4" x14ac:dyDescent="0.2">
      <c r="A3" s="10" t="s">
        <v>73</v>
      </c>
      <c r="B3" s="10" t="s">
        <v>202</v>
      </c>
      <c r="C3" s="10" t="s">
        <v>203</v>
      </c>
      <c r="D3" s="10" t="s">
        <v>204</v>
      </c>
    </row>
    <row r="4" spans="1:4" ht="32" x14ac:dyDescent="0.2">
      <c r="A4" t="s">
        <v>186</v>
      </c>
      <c r="B4" s="24" t="s">
        <v>205</v>
      </c>
      <c r="C4" t="s">
        <v>206</v>
      </c>
      <c r="D4" t="s">
        <v>10</v>
      </c>
    </row>
    <row r="5" spans="1:4" ht="16" x14ac:dyDescent="0.2">
      <c r="A5" t="s">
        <v>166</v>
      </c>
      <c r="B5" s="24" t="s">
        <v>207</v>
      </c>
      <c r="C5" t="s">
        <v>208</v>
      </c>
      <c r="D5" t="s">
        <v>10</v>
      </c>
    </row>
    <row r="6" spans="1:4" ht="48" x14ac:dyDescent="0.2">
      <c r="A6" t="s">
        <v>102</v>
      </c>
      <c r="B6" s="24" t="s">
        <v>209</v>
      </c>
      <c r="C6" t="s">
        <v>210</v>
      </c>
      <c r="D6" t="s">
        <v>10</v>
      </c>
    </row>
    <row r="7" spans="1:4" ht="32" x14ac:dyDescent="0.2">
      <c r="A7" t="s">
        <v>86</v>
      </c>
      <c r="B7" s="24" t="s">
        <v>211</v>
      </c>
      <c r="C7" t="s">
        <v>212</v>
      </c>
      <c r="D7" t="s">
        <v>10</v>
      </c>
    </row>
    <row r="8" spans="1:4" ht="32" x14ac:dyDescent="0.2">
      <c r="A8" t="s">
        <v>95</v>
      </c>
      <c r="B8" s="24" t="s">
        <v>213</v>
      </c>
      <c r="C8" t="s">
        <v>214</v>
      </c>
      <c r="D8" t="s">
        <v>10</v>
      </c>
    </row>
    <row r="9" spans="1:4" ht="32" x14ac:dyDescent="0.2">
      <c r="A9" t="s">
        <v>121</v>
      </c>
      <c r="B9" s="24" t="s">
        <v>215</v>
      </c>
      <c r="C9" t="s">
        <v>216</v>
      </c>
      <c r="D9" t="s">
        <v>10</v>
      </c>
    </row>
    <row r="10" spans="1:4" ht="16" x14ac:dyDescent="0.2">
      <c r="A10" t="s">
        <v>82</v>
      </c>
      <c r="B10" s="24" t="s">
        <v>217</v>
      </c>
      <c r="D10" t="s">
        <v>10</v>
      </c>
    </row>
    <row r="11" spans="1:4" ht="16" x14ac:dyDescent="0.2">
      <c r="A11" t="s">
        <v>109</v>
      </c>
      <c r="B11" s="24" t="s">
        <v>218</v>
      </c>
      <c r="D11" t="s">
        <v>10</v>
      </c>
    </row>
    <row r="12" spans="1:4" ht="16" x14ac:dyDescent="0.2">
      <c r="A12" t="s">
        <v>194</v>
      </c>
      <c r="B12" s="24" t="s">
        <v>219</v>
      </c>
      <c r="D12" t="s">
        <v>10</v>
      </c>
    </row>
    <row r="13" spans="1:4" ht="16" x14ac:dyDescent="0.2">
      <c r="A13" t="s">
        <v>114</v>
      </c>
      <c r="B13" s="24" t="s">
        <v>220</v>
      </c>
      <c r="D13" t="s">
        <v>10</v>
      </c>
    </row>
    <row r="14" spans="1:4" ht="16" x14ac:dyDescent="0.2">
      <c r="A14" t="s">
        <v>156</v>
      </c>
      <c r="B14" s="24" t="s">
        <v>221</v>
      </c>
      <c r="C14" t="s">
        <v>222</v>
      </c>
      <c r="D14" t="s">
        <v>10</v>
      </c>
    </row>
    <row r="15" spans="1:4" ht="16" x14ac:dyDescent="0.2">
      <c r="A15" t="s">
        <v>160</v>
      </c>
      <c r="B15" s="24" t="s">
        <v>223</v>
      </c>
      <c r="C15" t="s">
        <v>224</v>
      </c>
      <c r="D15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3"/>
  <sheetViews>
    <sheetView showGridLines="0" workbookViewId="0"/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3" ht="18" x14ac:dyDescent="0.2">
      <c r="A1" s="9" t="s">
        <v>225</v>
      </c>
    </row>
    <row r="2" spans="1:33" x14ac:dyDescent="0.2">
      <c r="A2" s="2" t="s">
        <v>226</v>
      </c>
    </row>
    <row r="4" spans="1:33" x14ac:dyDescent="0.2">
      <c r="A4" s="25" t="s">
        <v>227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5" spans="1:33" x14ac:dyDescent="0.2">
      <c r="A5" s="11" t="s">
        <v>228</v>
      </c>
      <c r="B5" s="2" t="s">
        <v>229</v>
      </c>
      <c r="C5" s="27">
        <f>PV_MWac*ILR</f>
        <v>268</v>
      </c>
    </row>
    <row r="6" spans="1:33" x14ac:dyDescent="0.2">
      <c r="A6" s="11" t="s">
        <v>230</v>
      </c>
      <c r="B6" s="2" t="s">
        <v>62</v>
      </c>
      <c r="C6" s="28">
        <f>BESS_MW*BESS_Hours</f>
        <v>400</v>
      </c>
    </row>
    <row r="7" spans="1:33" x14ac:dyDescent="0.2">
      <c r="A7" s="11" t="s">
        <v>231</v>
      </c>
      <c r="B7" s="2" t="s">
        <v>45</v>
      </c>
      <c r="C7" s="28">
        <f>BESS_MWh*kWh_per_MWh*BESS_Capex_Per_kWh</f>
        <v>133600000</v>
      </c>
    </row>
    <row r="8" spans="1:33" x14ac:dyDescent="0.2">
      <c r="A8" s="25" t="s">
        <v>232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spans="1:33" x14ac:dyDescent="0.2">
      <c r="A9" s="11" t="s">
        <v>233</v>
      </c>
      <c r="B9" s="2" t="s">
        <v>45</v>
      </c>
      <c r="C9" s="28">
        <f>PV_MWac*kW_per_MW*W_per_kW*PV_Capex_Per_Wac*(1+Capex_Overrun)</f>
        <v>276000000</v>
      </c>
    </row>
    <row r="10" spans="1:33" x14ac:dyDescent="0.2">
      <c r="A10" s="11" t="s">
        <v>234</v>
      </c>
      <c r="B10" s="2" t="s">
        <v>45</v>
      </c>
      <c r="C10" s="28">
        <f>BESS_Capex_Base*(1+Capex_Overrun)</f>
        <v>133600000</v>
      </c>
    </row>
    <row r="11" spans="1:33" x14ac:dyDescent="0.2">
      <c r="A11" s="11" t="s">
        <v>235</v>
      </c>
      <c r="B11" s="2" t="s">
        <v>45</v>
      </c>
      <c r="C11" s="28">
        <f>PV_Capex+BESS_Capex</f>
        <v>409600000</v>
      </c>
    </row>
    <row r="12" spans="1:33" x14ac:dyDescent="0.2">
      <c r="A12" s="11" t="s">
        <v>236</v>
      </c>
      <c r="B12" s="2" t="s">
        <v>45</v>
      </c>
      <c r="C12" s="28">
        <f>Owner_Dev_Pct*Equipment_Capex</f>
        <v>16384000</v>
      </c>
    </row>
    <row r="13" spans="1:33" x14ac:dyDescent="0.2">
      <c r="A13" s="3" t="s">
        <v>44</v>
      </c>
      <c r="B13" s="2" t="s">
        <v>45</v>
      </c>
      <c r="C13" s="29">
        <f>Equipment_Capex+Dev_Costs</f>
        <v>425984000</v>
      </c>
    </row>
    <row r="14" spans="1:33" x14ac:dyDescent="0.2">
      <c r="A14" s="11" t="s">
        <v>237</v>
      </c>
      <c r="B14" s="2" t="s">
        <v>45</v>
      </c>
      <c r="C14" s="28">
        <f>Debt*Rate*Constr_Years*Avg_Draw</f>
        <v>7739661.1257027127</v>
      </c>
    </row>
    <row r="15" spans="1:33" x14ac:dyDescent="0.2">
      <c r="A15" s="11" t="s">
        <v>176</v>
      </c>
      <c r="B15" s="2" t="s">
        <v>45</v>
      </c>
      <c r="C15" s="28">
        <f>Upfront_Fee*Debt</f>
        <v>3336060.8300442728</v>
      </c>
    </row>
    <row r="16" spans="1:33" x14ac:dyDescent="0.2">
      <c r="A16" s="11" t="s">
        <v>238</v>
      </c>
      <c r="B16" s="2" t="s">
        <v>45</v>
      </c>
      <c r="C16" s="28">
        <f>DSRA_Months/Months*INDEX(R_Debt_Service,1,1)</f>
        <v>12396160.974814814</v>
      </c>
    </row>
    <row r="17" spans="1:33" x14ac:dyDescent="0.2">
      <c r="A17" s="3" t="s">
        <v>239</v>
      </c>
      <c r="B17" s="2" t="s">
        <v>45</v>
      </c>
      <c r="C17" s="29">
        <f>Project_Capex+IDC+Fees+DSRA</f>
        <v>449455882.93056184</v>
      </c>
    </row>
    <row r="19" spans="1:33" x14ac:dyDescent="0.2">
      <c r="A19" s="25" t="s">
        <v>20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</row>
    <row r="20" spans="1:33" x14ac:dyDescent="0.2">
      <c r="A20" s="11" t="s">
        <v>46</v>
      </c>
      <c r="B20" s="2" t="s">
        <v>45</v>
      </c>
      <c r="C20" s="28">
        <f>Debt</f>
        <v>222404055.33628488</v>
      </c>
    </row>
    <row r="21" spans="1:33" x14ac:dyDescent="0.2">
      <c r="A21" s="11" t="s">
        <v>240</v>
      </c>
      <c r="B21" s="2" t="s">
        <v>45</v>
      </c>
      <c r="C21" s="28">
        <f>(ITC_PV*PV_Capex+ITC_BESS*BESS_Capex)*ITC_Transfer_Price</f>
        <v>113049600</v>
      </c>
    </row>
    <row r="22" spans="1:33" x14ac:dyDescent="0.2">
      <c r="A22" s="11" t="s">
        <v>50</v>
      </c>
      <c r="B22" s="2" t="s">
        <v>45</v>
      </c>
      <c r="C22" s="28">
        <f>Total_Uses-Debt-ITC_Proceeds</f>
        <v>114002227.59427696</v>
      </c>
    </row>
    <row r="23" spans="1:33" x14ac:dyDescent="0.2">
      <c r="A23" s="3" t="s">
        <v>241</v>
      </c>
      <c r="B23" s="2" t="s">
        <v>45</v>
      </c>
      <c r="C23" s="29">
        <f>Debt+ITC_Proceeds+Equity</f>
        <v>449455882.93056184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4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3" ht="18" x14ac:dyDescent="0.2">
      <c r="A1" s="9" t="s">
        <v>24</v>
      </c>
    </row>
    <row r="2" spans="1:33" x14ac:dyDescent="0.2">
      <c r="A2" s="2" t="s">
        <v>242</v>
      </c>
    </row>
    <row r="4" spans="1:33" x14ac:dyDescent="0.2">
      <c r="A4" s="30" t="s">
        <v>243</v>
      </c>
      <c r="B4" s="30" t="s">
        <v>71</v>
      </c>
      <c r="C4" s="31"/>
      <c r="D4" s="31">
        <v>1</v>
      </c>
      <c r="E4" s="31">
        <f t="shared" ref="E4:AG4" si="0">D4+1</f>
        <v>2</v>
      </c>
      <c r="F4" s="31">
        <f t="shared" si="0"/>
        <v>3</v>
      </c>
      <c r="G4" s="31">
        <f t="shared" si="0"/>
        <v>4</v>
      </c>
      <c r="H4" s="31">
        <f t="shared" si="0"/>
        <v>5</v>
      </c>
      <c r="I4" s="31">
        <f t="shared" si="0"/>
        <v>6</v>
      </c>
      <c r="J4" s="31">
        <f t="shared" si="0"/>
        <v>7</v>
      </c>
      <c r="K4" s="31">
        <f t="shared" si="0"/>
        <v>8</v>
      </c>
      <c r="L4" s="31">
        <f t="shared" si="0"/>
        <v>9</v>
      </c>
      <c r="M4" s="31">
        <f t="shared" si="0"/>
        <v>10</v>
      </c>
      <c r="N4" s="31">
        <f t="shared" si="0"/>
        <v>11</v>
      </c>
      <c r="O4" s="31">
        <f t="shared" si="0"/>
        <v>12</v>
      </c>
      <c r="P4" s="31">
        <f t="shared" si="0"/>
        <v>13</v>
      </c>
      <c r="Q4" s="31">
        <f t="shared" si="0"/>
        <v>14</v>
      </c>
      <c r="R4" s="31">
        <f t="shared" si="0"/>
        <v>15</v>
      </c>
      <c r="S4" s="31">
        <f t="shared" si="0"/>
        <v>16</v>
      </c>
      <c r="T4" s="31">
        <f t="shared" si="0"/>
        <v>17</v>
      </c>
      <c r="U4" s="31">
        <f t="shared" si="0"/>
        <v>18</v>
      </c>
      <c r="V4" s="31">
        <f t="shared" si="0"/>
        <v>19</v>
      </c>
      <c r="W4" s="31">
        <f t="shared" si="0"/>
        <v>20</v>
      </c>
      <c r="X4" s="31">
        <f t="shared" si="0"/>
        <v>21</v>
      </c>
      <c r="Y4" s="31">
        <f t="shared" si="0"/>
        <v>22</v>
      </c>
      <c r="Z4" s="31">
        <f t="shared" si="0"/>
        <v>23</v>
      </c>
      <c r="AA4" s="31">
        <f t="shared" si="0"/>
        <v>24</v>
      </c>
      <c r="AB4" s="30">
        <f t="shared" si="0"/>
        <v>25</v>
      </c>
      <c r="AC4" s="31">
        <f t="shared" si="0"/>
        <v>26</v>
      </c>
      <c r="AD4" s="31">
        <f t="shared" si="0"/>
        <v>27</v>
      </c>
      <c r="AE4" s="31">
        <f t="shared" si="0"/>
        <v>28</v>
      </c>
      <c r="AF4" s="31">
        <f t="shared" si="0"/>
        <v>29</v>
      </c>
      <c r="AG4" s="31">
        <f t="shared" si="0"/>
        <v>30</v>
      </c>
    </row>
    <row r="5" spans="1:33" x14ac:dyDescent="0.2">
      <c r="A5" s="11" t="s">
        <v>244</v>
      </c>
      <c r="B5" s="2" t="s">
        <v>84</v>
      </c>
      <c r="C5" s="32">
        <f>1-Z_P90*Gen_Sigma_1yr</f>
        <v>0.92310400000000004</v>
      </c>
    </row>
    <row r="6" spans="1:33" x14ac:dyDescent="0.2">
      <c r="A6" s="11" t="s">
        <v>245</v>
      </c>
      <c r="B6" s="2" t="s">
        <v>84</v>
      </c>
      <c r="C6" s="32">
        <f>1-Z_P99*Gen_Sigma_1yr</f>
        <v>0.86042200000000002</v>
      </c>
    </row>
    <row r="7" spans="1:33" x14ac:dyDescent="0.2">
      <c r="A7" s="11" t="s">
        <v>246</v>
      </c>
      <c r="B7" s="2" t="s">
        <v>84</v>
      </c>
      <c r="C7" s="32">
        <f>1-Gen_Case_Z*Gen_Sigma_1yr</f>
        <v>1</v>
      </c>
    </row>
    <row r="9" spans="1:33" x14ac:dyDescent="0.2">
      <c r="A9" t="s">
        <v>247</v>
      </c>
      <c r="B9" s="2" t="s">
        <v>248</v>
      </c>
      <c r="D9" s="33">
        <f t="shared" ref="D9:AG9" si="1">IF(D4&lt;=PV_Life,1,0)</f>
        <v>1</v>
      </c>
      <c r="E9" s="33">
        <f t="shared" si="1"/>
        <v>1</v>
      </c>
      <c r="F9" s="33">
        <f t="shared" si="1"/>
        <v>1</v>
      </c>
      <c r="G9" s="33">
        <f t="shared" si="1"/>
        <v>1</v>
      </c>
      <c r="H9" s="33">
        <f t="shared" si="1"/>
        <v>1</v>
      </c>
      <c r="I9" s="33">
        <f t="shared" si="1"/>
        <v>1</v>
      </c>
      <c r="J9" s="33">
        <f t="shared" si="1"/>
        <v>1</v>
      </c>
      <c r="K9" s="33">
        <f t="shared" si="1"/>
        <v>1</v>
      </c>
      <c r="L9" s="33">
        <f t="shared" si="1"/>
        <v>1</v>
      </c>
      <c r="M9" s="33">
        <f t="shared" si="1"/>
        <v>1</v>
      </c>
      <c r="N9" s="33">
        <f t="shared" si="1"/>
        <v>1</v>
      </c>
      <c r="O9" s="33">
        <f t="shared" si="1"/>
        <v>1</v>
      </c>
      <c r="P9" s="33">
        <f t="shared" si="1"/>
        <v>1</v>
      </c>
      <c r="Q9" s="33">
        <f t="shared" si="1"/>
        <v>1</v>
      </c>
      <c r="R9" s="33">
        <f t="shared" si="1"/>
        <v>1</v>
      </c>
      <c r="S9" s="33">
        <f t="shared" si="1"/>
        <v>1</v>
      </c>
      <c r="T9" s="33">
        <f t="shared" si="1"/>
        <v>1</v>
      </c>
      <c r="U9" s="33">
        <f t="shared" si="1"/>
        <v>1</v>
      </c>
      <c r="V9" s="33">
        <f t="shared" si="1"/>
        <v>1</v>
      </c>
      <c r="W9" s="33">
        <f t="shared" si="1"/>
        <v>1</v>
      </c>
      <c r="X9" s="33">
        <f t="shared" si="1"/>
        <v>1</v>
      </c>
      <c r="Y9" s="33">
        <f t="shared" si="1"/>
        <v>1</v>
      </c>
      <c r="Z9" s="33">
        <f t="shared" si="1"/>
        <v>1</v>
      </c>
      <c r="AA9" s="33">
        <f t="shared" si="1"/>
        <v>1</v>
      </c>
      <c r="AB9" s="33">
        <f t="shared" si="1"/>
        <v>1</v>
      </c>
      <c r="AC9" s="33">
        <f t="shared" si="1"/>
        <v>1</v>
      </c>
      <c r="AD9" s="33">
        <f t="shared" si="1"/>
        <v>1</v>
      </c>
      <c r="AE9" s="33">
        <f t="shared" si="1"/>
        <v>1</v>
      </c>
      <c r="AF9" s="33">
        <f t="shared" si="1"/>
        <v>1</v>
      </c>
      <c r="AG9" s="33">
        <f t="shared" si="1"/>
        <v>1</v>
      </c>
    </row>
    <row r="10" spans="1:33" x14ac:dyDescent="0.2">
      <c r="A10" t="s">
        <v>249</v>
      </c>
      <c r="B10" s="2" t="s">
        <v>248</v>
      </c>
      <c r="D10" s="33">
        <f t="shared" ref="D10:AG10" si="2">IF(D4&lt;=BESS_Life,1,0)</f>
        <v>1</v>
      </c>
      <c r="E10" s="33">
        <f t="shared" si="2"/>
        <v>1</v>
      </c>
      <c r="F10" s="33">
        <f t="shared" si="2"/>
        <v>1</v>
      </c>
      <c r="G10" s="33">
        <f t="shared" si="2"/>
        <v>1</v>
      </c>
      <c r="H10" s="33">
        <f t="shared" si="2"/>
        <v>1</v>
      </c>
      <c r="I10" s="33">
        <f t="shared" si="2"/>
        <v>1</v>
      </c>
      <c r="J10" s="33">
        <f t="shared" si="2"/>
        <v>1</v>
      </c>
      <c r="K10" s="33">
        <f t="shared" si="2"/>
        <v>1</v>
      </c>
      <c r="L10" s="33">
        <f t="shared" si="2"/>
        <v>1</v>
      </c>
      <c r="M10" s="33">
        <f t="shared" si="2"/>
        <v>1</v>
      </c>
      <c r="N10" s="33">
        <f t="shared" si="2"/>
        <v>1</v>
      </c>
      <c r="O10" s="33">
        <f t="shared" si="2"/>
        <v>1</v>
      </c>
      <c r="P10" s="33">
        <f t="shared" si="2"/>
        <v>1</v>
      </c>
      <c r="Q10" s="33">
        <f t="shared" si="2"/>
        <v>1</v>
      </c>
      <c r="R10" s="33">
        <f t="shared" si="2"/>
        <v>1</v>
      </c>
      <c r="S10" s="33">
        <f t="shared" si="2"/>
        <v>0</v>
      </c>
      <c r="T10" s="33">
        <f t="shared" si="2"/>
        <v>0</v>
      </c>
      <c r="U10" s="33">
        <f t="shared" si="2"/>
        <v>0</v>
      </c>
      <c r="V10" s="33">
        <f t="shared" si="2"/>
        <v>0</v>
      </c>
      <c r="W10" s="33">
        <f t="shared" si="2"/>
        <v>0</v>
      </c>
      <c r="X10" s="33">
        <f t="shared" si="2"/>
        <v>0</v>
      </c>
      <c r="Y10" s="33">
        <f t="shared" si="2"/>
        <v>0</v>
      </c>
      <c r="Z10" s="33">
        <f t="shared" si="2"/>
        <v>0</v>
      </c>
      <c r="AA10" s="33">
        <f t="shared" si="2"/>
        <v>0</v>
      </c>
      <c r="AB10" s="33">
        <f t="shared" si="2"/>
        <v>0</v>
      </c>
      <c r="AC10" s="33">
        <f t="shared" si="2"/>
        <v>0</v>
      </c>
      <c r="AD10" s="33">
        <f t="shared" si="2"/>
        <v>0</v>
      </c>
      <c r="AE10" s="33">
        <f t="shared" si="2"/>
        <v>0</v>
      </c>
      <c r="AF10" s="33">
        <f t="shared" si="2"/>
        <v>0</v>
      </c>
      <c r="AG10" s="33">
        <f t="shared" si="2"/>
        <v>0</v>
      </c>
    </row>
    <row r="11" spans="1:33" x14ac:dyDescent="0.2">
      <c r="A11" t="s">
        <v>250</v>
      </c>
      <c r="B11" s="2" t="s">
        <v>251</v>
      </c>
      <c r="D11" s="32">
        <f t="shared" ref="D11:AG11" si="3">(1-Degradation)^(D4-1)</f>
        <v>1</v>
      </c>
      <c r="E11" s="32">
        <f t="shared" si="3"/>
        <v>0.99299999999999999</v>
      </c>
      <c r="F11" s="32">
        <f t="shared" si="3"/>
        <v>0.98604899999999995</v>
      </c>
      <c r="G11" s="32">
        <f t="shared" si="3"/>
        <v>0.97914665699999992</v>
      </c>
      <c r="H11" s="32">
        <f t="shared" si="3"/>
        <v>0.97229263040099989</v>
      </c>
      <c r="I11" s="32">
        <f t="shared" si="3"/>
        <v>0.96548658198819293</v>
      </c>
      <c r="J11" s="32">
        <f t="shared" si="3"/>
        <v>0.9587281759142755</v>
      </c>
      <c r="K11" s="32">
        <f t="shared" si="3"/>
        <v>0.95201707868287555</v>
      </c>
      <c r="L11" s="32">
        <f t="shared" si="3"/>
        <v>0.94535295913209538</v>
      </c>
      <c r="M11" s="32">
        <f t="shared" si="3"/>
        <v>0.93873548841817067</v>
      </c>
      <c r="N11" s="32">
        <f t="shared" si="3"/>
        <v>0.93216433999924353</v>
      </c>
      <c r="O11" s="32">
        <f t="shared" si="3"/>
        <v>0.92563918961924874</v>
      </c>
      <c r="P11" s="32">
        <f t="shared" si="3"/>
        <v>0.91915971529191398</v>
      </c>
      <c r="Q11" s="32">
        <f t="shared" si="3"/>
        <v>0.91272559728487057</v>
      </c>
      <c r="R11" s="32">
        <f t="shared" si="3"/>
        <v>0.9063365181038765</v>
      </c>
      <c r="S11" s="32">
        <f t="shared" si="3"/>
        <v>0.8999921624771493</v>
      </c>
      <c r="T11" s="32">
        <f t="shared" si="3"/>
        <v>0.89369221733980919</v>
      </c>
      <c r="U11" s="32">
        <f t="shared" si="3"/>
        <v>0.88743637181843049</v>
      </c>
      <c r="V11" s="32">
        <f t="shared" si="3"/>
        <v>0.88122431721570149</v>
      </c>
      <c r="W11" s="32">
        <f t="shared" si="3"/>
        <v>0.87505574699519151</v>
      </c>
      <c r="X11" s="32">
        <f t="shared" si="3"/>
        <v>0.86893035676622521</v>
      </c>
      <c r="Y11" s="32">
        <f t="shared" si="3"/>
        <v>0.86284784426886163</v>
      </c>
      <c r="Z11" s="32">
        <f t="shared" si="3"/>
        <v>0.85680790935897955</v>
      </c>
      <c r="AA11" s="32">
        <f t="shared" si="3"/>
        <v>0.85081025399346666</v>
      </c>
      <c r="AB11" s="32">
        <f t="shared" si="3"/>
        <v>0.84485458221551235</v>
      </c>
      <c r="AC11" s="32">
        <f t="shared" si="3"/>
        <v>0.83894060014000371</v>
      </c>
      <c r="AD11" s="32">
        <f t="shared" si="3"/>
        <v>0.83306801593902369</v>
      </c>
      <c r="AE11" s="32">
        <f t="shared" si="3"/>
        <v>0.82723653982745049</v>
      </c>
      <c r="AF11" s="32">
        <f t="shared" si="3"/>
        <v>0.82144588404865837</v>
      </c>
      <c r="AG11" s="32">
        <f t="shared" si="3"/>
        <v>0.81569576286031775</v>
      </c>
    </row>
    <row r="12" spans="1:33" x14ac:dyDescent="0.2">
      <c r="A12" t="s">
        <v>252</v>
      </c>
      <c r="B12" s="2" t="s">
        <v>62</v>
      </c>
      <c r="D12" s="28">
        <f t="shared" ref="D12:AG12" si="4">PV_MWac*Hours_Per_Year*CF_P50*(1-Curtailment)*D11*D9</f>
        <v>535483.03200000001</v>
      </c>
      <c r="E12" s="28">
        <f t="shared" si="4"/>
        <v>531734.65077599999</v>
      </c>
      <c r="F12" s="28">
        <f t="shared" si="4"/>
        <v>528012.50822056795</v>
      </c>
      <c r="G12" s="28">
        <f t="shared" si="4"/>
        <v>524316.42066302395</v>
      </c>
      <c r="H12" s="28">
        <f t="shared" si="4"/>
        <v>520646.20571838279</v>
      </c>
      <c r="I12" s="28">
        <f t="shared" si="4"/>
        <v>517001.68227835413</v>
      </c>
      <c r="J12" s="28">
        <f t="shared" si="4"/>
        <v>513382.67050240561</v>
      </c>
      <c r="K12" s="28">
        <f t="shared" si="4"/>
        <v>509788.99180888879</v>
      </c>
      <c r="L12" s="28">
        <f t="shared" si="4"/>
        <v>506220.46886622655</v>
      </c>
      <c r="M12" s="28">
        <f t="shared" si="4"/>
        <v>502676.92558416293</v>
      </c>
      <c r="N12" s="28">
        <f t="shared" si="4"/>
        <v>499158.18710507383</v>
      </c>
      <c r="O12" s="28">
        <f t="shared" si="4"/>
        <v>495664.07979533827</v>
      </c>
      <c r="P12" s="28">
        <f t="shared" si="4"/>
        <v>492194.43123677088</v>
      </c>
      <c r="Q12" s="28">
        <f t="shared" si="4"/>
        <v>488749.07021811348</v>
      </c>
      <c r="R12" s="28">
        <f t="shared" si="4"/>
        <v>485327.82672658667</v>
      </c>
      <c r="S12" s="28">
        <f t="shared" si="4"/>
        <v>481930.53193950054</v>
      </c>
      <c r="T12" s="28">
        <f t="shared" si="4"/>
        <v>478557.01821592398</v>
      </c>
      <c r="U12" s="28">
        <f t="shared" si="4"/>
        <v>475207.1190884125</v>
      </c>
      <c r="V12" s="28">
        <f t="shared" si="4"/>
        <v>471880.66925479361</v>
      </c>
      <c r="W12" s="28">
        <f t="shared" si="4"/>
        <v>468577.50457001006</v>
      </c>
      <c r="X12" s="28">
        <f t="shared" si="4"/>
        <v>465297.46203802002</v>
      </c>
      <c r="Y12" s="28">
        <f t="shared" si="4"/>
        <v>462040.37980375387</v>
      </c>
      <c r="Z12" s="28">
        <f t="shared" si="4"/>
        <v>458806.09714512754</v>
      </c>
      <c r="AA12" s="28">
        <f t="shared" si="4"/>
        <v>455594.45446511166</v>
      </c>
      <c r="AB12" s="28">
        <f t="shared" si="4"/>
        <v>452405.29328385583</v>
      </c>
      <c r="AC12" s="28">
        <f t="shared" si="4"/>
        <v>449238.45623086882</v>
      </c>
      <c r="AD12" s="28">
        <f t="shared" si="4"/>
        <v>446093.78703725274</v>
      </c>
      <c r="AE12" s="28">
        <f t="shared" si="4"/>
        <v>442971.13052799198</v>
      </c>
      <c r="AF12" s="28">
        <f t="shared" si="4"/>
        <v>439870.332614296</v>
      </c>
      <c r="AG12" s="28">
        <f t="shared" si="4"/>
        <v>436791.24028599594</v>
      </c>
    </row>
    <row r="13" spans="1:33" x14ac:dyDescent="0.2">
      <c r="A13" t="s">
        <v>253</v>
      </c>
      <c r="B13" s="2" t="s">
        <v>62</v>
      </c>
      <c r="D13" s="28">
        <f t="shared" ref="D13:AG13" si="5">D12*P90_Factor</f>
        <v>494306.52877132804</v>
      </c>
      <c r="E13" s="28">
        <f t="shared" si="5"/>
        <v>490846.38306992874</v>
      </c>
      <c r="F13" s="28">
        <f t="shared" si="5"/>
        <v>487410.45838843915</v>
      </c>
      <c r="G13" s="28">
        <f t="shared" si="5"/>
        <v>483998.58517972007</v>
      </c>
      <c r="H13" s="28">
        <f t="shared" si="5"/>
        <v>480610.59508346202</v>
      </c>
      <c r="I13" s="28">
        <f t="shared" si="5"/>
        <v>477246.32091787783</v>
      </c>
      <c r="J13" s="28">
        <f t="shared" si="5"/>
        <v>473905.59667145263</v>
      </c>
      <c r="K13" s="28">
        <f t="shared" si="5"/>
        <v>470588.25749475247</v>
      </c>
      <c r="L13" s="28">
        <f t="shared" si="5"/>
        <v>467294.13969228923</v>
      </c>
      <c r="M13" s="28">
        <f t="shared" si="5"/>
        <v>464023.08071444317</v>
      </c>
      <c r="N13" s="28">
        <f t="shared" si="5"/>
        <v>460774.91914944211</v>
      </c>
      <c r="O13" s="28">
        <f t="shared" si="5"/>
        <v>457549.49471539597</v>
      </c>
      <c r="P13" s="28">
        <f t="shared" si="5"/>
        <v>454346.64825238817</v>
      </c>
      <c r="Q13" s="28">
        <f t="shared" si="5"/>
        <v>451166.22171462147</v>
      </c>
      <c r="R13" s="28">
        <f t="shared" si="5"/>
        <v>448008.05816261907</v>
      </c>
      <c r="S13" s="28">
        <f t="shared" si="5"/>
        <v>444872.00175548071</v>
      </c>
      <c r="T13" s="28">
        <f t="shared" si="5"/>
        <v>441757.89774319233</v>
      </c>
      <c r="U13" s="28">
        <f t="shared" si="5"/>
        <v>438665.59245898994</v>
      </c>
      <c r="V13" s="28">
        <f t="shared" si="5"/>
        <v>435594.93331177701</v>
      </c>
      <c r="W13" s="28">
        <f t="shared" si="5"/>
        <v>432545.76877859456</v>
      </c>
      <c r="X13" s="28">
        <f t="shared" si="5"/>
        <v>429517.94839714444</v>
      </c>
      <c r="Y13" s="28">
        <f t="shared" si="5"/>
        <v>426511.32275836443</v>
      </c>
      <c r="Z13" s="28">
        <f t="shared" si="5"/>
        <v>423525.74349905585</v>
      </c>
      <c r="AA13" s="28">
        <f t="shared" si="5"/>
        <v>420561.06329456245</v>
      </c>
      <c r="AB13" s="28">
        <f t="shared" si="5"/>
        <v>417617.1358515005</v>
      </c>
      <c r="AC13" s="28">
        <f t="shared" si="5"/>
        <v>414693.81590053992</v>
      </c>
      <c r="AD13" s="28">
        <f t="shared" si="5"/>
        <v>411790.95918923616</v>
      </c>
      <c r="AE13" s="28">
        <f t="shared" si="5"/>
        <v>408908.42247491149</v>
      </c>
      <c r="AF13" s="28">
        <f t="shared" si="5"/>
        <v>406046.06351758708</v>
      </c>
      <c r="AG13" s="28">
        <f t="shared" si="5"/>
        <v>403203.74107296404</v>
      </c>
    </row>
    <row r="14" spans="1:33" x14ac:dyDescent="0.2">
      <c r="A14" t="s">
        <v>254</v>
      </c>
      <c r="B14" s="2" t="s">
        <v>62</v>
      </c>
      <c r="D14" s="28">
        <f t="shared" ref="D14:AG14" si="6">D12*Op_Gen_Factor</f>
        <v>535483.03200000001</v>
      </c>
      <c r="E14" s="28">
        <f t="shared" si="6"/>
        <v>531734.65077599999</v>
      </c>
      <c r="F14" s="28">
        <f t="shared" si="6"/>
        <v>528012.50822056795</v>
      </c>
      <c r="G14" s="28">
        <f t="shared" si="6"/>
        <v>524316.42066302395</v>
      </c>
      <c r="H14" s="28">
        <f t="shared" si="6"/>
        <v>520646.20571838279</v>
      </c>
      <c r="I14" s="28">
        <f t="shared" si="6"/>
        <v>517001.68227835413</v>
      </c>
      <c r="J14" s="28">
        <f t="shared" si="6"/>
        <v>513382.67050240561</v>
      </c>
      <c r="K14" s="28">
        <f t="shared" si="6"/>
        <v>509788.99180888879</v>
      </c>
      <c r="L14" s="28">
        <f t="shared" si="6"/>
        <v>506220.46886622655</v>
      </c>
      <c r="M14" s="28">
        <f t="shared" si="6"/>
        <v>502676.92558416293</v>
      </c>
      <c r="N14" s="28">
        <f t="shared" si="6"/>
        <v>499158.18710507383</v>
      </c>
      <c r="O14" s="28">
        <f t="shared" si="6"/>
        <v>495664.07979533827</v>
      </c>
      <c r="P14" s="28">
        <f t="shared" si="6"/>
        <v>492194.43123677088</v>
      </c>
      <c r="Q14" s="28">
        <f t="shared" si="6"/>
        <v>488749.07021811348</v>
      </c>
      <c r="R14" s="28">
        <f t="shared" si="6"/>
        <v>485327.82672658667</v>
      </c>
      <c r="S14" s="28">
        <f t="shared" si="6"/>
        <v>481930.53193950054</v>
      </c>
      <c r="T14" s="28">
        <f t="shared" si="6"/>
        <v>478557.01821592398</v>
      </c>
      <c r="U14" s="28">
        <f t="shared" si="6"/>
        <v>475207.1190884125</v>
      </c>
      <c r="V14" s="28">
        <f t="shared" si="6"/>
        <v>471880.66925479361</v>
      </c>
      <c r="W14" s="28">
        <f t="shared" si="6"/>
        <v>468577.50457001006</v>
      </c>
      <c r="X14" s="28">
        <f t="shared" si="6"/>
        <v>465297.46203802002</v>
      </c>
      <c r="Y14" s="28">
        <f t="shared" si="6"/>
        <v>462040.37980375387</v>
      </c>
      <c r="Z14" s="28">
        <f t="shared" si="6"/>
        <v>458806.09714512754</v>
      </c>
      <c r="AA14" s="28">
        <f t="shared" si="6"/>
        <v>455594.45446511166</v>
      </c>
      <c r="AB14" s="28">
        <f t="shared" si="6"/>
        <v>452405.29328385583</v>
      </c>
      <c r="AC14" s="28">
        <f t="shared" si="6"/>
        <v>449238.45623086882</v>
      </c>
      <c r="AD14" s="28">
        <f t="shared" si="6"/>
        <v>446093.78703725274</v>
      </c>
      <c r="AE14" s="28">
        <f t="shared" si="6"/>
        <v>442971.13052799198</v>
      </c>
      <c r="AF14" s="28">
        <f t="shared" si="6"/>
        <v>439870.332614296</v>
      </c>
      <c r="AG14" s="28">
        <f t="shared" si="6"/>
        <v>436791.24028599594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5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3" ht="18" x14ac:dyDescent="0.2">
      <c r="A1" s="9" t="s">
        <v>26</v>
      </c>
    </row>
    <row r="2" spans="1:33" x14ac:dyDescent="0.2">
      <c r="A2" s="2" t="s">
        <v>255</v>
      </c>
    </row>
    <row r="4" spans="1:33" x14ac:dyDescent="0.2">
      <c r="A4" s="30" t="s">
        <v>243</v>
      </c>
      <c r="B4" s="30" t="s">
        <v>71</v>
      </c>
      <c r="C4" s="31"/>
      <c r="D4" s="31">
        <v>1</v>
      </c>
      <c r="E4" s="31">
        <f t="shared" ref="E4:AG4" si="0">D4+1</f>
        <v>2</v>
      </c>
      <c r="F4" s="31">
        <f t="shared" si="0"/>
        <v>3</v>
      </c>
      <c r="G4" s="31">
        <f t="shared" si="0"/>
        <v>4</v>
      </c>
      <c r="H4" s="31">
        <f t="shared" si="0"/>
        <v>5</v>
      </c>
      <c r="I4" s="31">
        <f t="shared" si="0"/>
        <v>6</v>
      </c>
      <c r="J4" s="31">
        <f t="shared" si="0"/>
        <v>7</v>
      </c>
      <c r="K4" s="31">
        <f t="shared" si="0"/>
        <v>8</v>
      </c>
      <c r="L4" s="31">
        <f t="shared" si="0"/>
        <v>9</v>
      </c>
      <c r="M4" s="31">
        <f t="shared" si="0"/>
        <v>10</v>
      </c>
      <c r="N4" s="31">
        <f t="shared" si="0"/>
        <v>11</v>
      </c>
      <c r="O4" s="31">
        <f t="shared" si="0"/>
        <v>12</v>
      </c>
      <c r="P4" s="31">
        <f t="shared" si="0"/>
        <v>13</v>
      </c>
      <c r="Q4" s="31">
        <f t="shared" si="0"/>
        <v>14</v>
      </c>
      <c r="R4" s="31">
        <f t="shared" si="0"/>
        <v>15</v>
      </c>
      <c r="S4" s="31">
        <f t="shared" si="0"/>
        <v>16</v>
      </c>
      <c r="T4" s="31">
        <f t="shared" si="0"/>
        <v>17</v>
      </c>
      <c r="U4" s="31">
        <f t="shared" si="0"/>
        <v>18</v>
      </c>
      <c r="V4" s="31">
        <f t="shared" si="0"/>
        <v>19</v>
      </c>
      <c r="W4" s="31">
        <f t="shared" si="0"/>
        <v>20</v>
      </c>
      <c r="X4" s="31">
        <f t="shared" si="0"/>
        <v>21</v>
      </c>
      <c r="Y4" s="31">
        <f t="shared" si="0"/>
        <v>22</v>
      </c>
      <c r="Z4" s="31">
        <f t="shared" si="0"/>
        <v>23</v>
      </c>
      <c r="AA4" s="31">
        <f t="shared" si="0"/>
        <v>24</v>
      </c>
      <c r="AB4" s="30">
        <f t="shared" si="0"/>
        <v>25</v>
      </c>
      <c r="AC4" s="31">
        <f t="shared" si="0"/>
        <v>26</v>
      </c>
      <c r="AD4" s="31">
        <f t="shared" si="0"/>
        <v>27</v>
      </c>
      <c r="AE4" s="31">
        <f t="shared" si="0"/>
        <v>28</v>
      </c>
      <c r="AF4" s="31">
        <f t="shared" si="0"/>
        <v>29</v>
      </c>
      <c r="AG4" s="31">
        <f t="shared" si="0"/>
        <v>30</v>
      </c>
    </row>
    <row r="5" spans="1:33" x14ac:dyDescent="0.2">
      <c r="A5" t="s">
        <v>256</v>
      </c>
      <c r="B5" s="2" t="s">
        <v>248</v>
      </c>
      <c r="D5" s="33">
        <f t="shared" ref="D5:AG5" si="1">IF(D4&lt;=PPA_Term,1,0)</f>
        <v>1</v>
      </c>
      <c r="E5" s="33">
        <f t="shared" si="1"/>
        <v>1</v>
      </c>
      <c r="F5" s="33">
        <f t="shared" si="1"/>
        <v>1</v>
      </c>
      <c r="G5" s="33">
        <f t="shared" si="1"/>
        <v>1</v>
      </c>
      <c r="H5" s="33">
        <f t="shared" si="1"/>
        <v>1</v>
      </c>
      <c r="I5" s="33">
        <f t="shared" si="1"/>
        <v>1</v>
      </c>
      <c r="J5" s="33">
        <f t="shared" si="1"/>
        <v>1</v>
      </c>
      <c r="K5" s="33">
        <f t="shared" si="1"/>
        <v>1</v>
      </c>
      <c r="L5" s="33">
        <f t="shared" si="1"/>
        <v>1</v>
      </c>
      <c r="M5" s="33">
        <f t="shared" si="1"/>
        <v>1</v>
      </c>
      <c r="N5" s="33">
        <f t="shared" si="1"/>
        <v>1</v>
      </c>
      <c r="O5" s="33">
        <f t="shared" si="1"/>
        <v>1</v>
      </c>
      <c r="P5" s="33">
        <f t="shared" si="1"/>
        <v>1</v>
      </c>
      <c r="Q5" s="33">
        <f t="shared" si="1"/>
        <v>1</v>
      </c>
      <c r="R5" s="33">
        <f t="shared" si="1"/>
        <v>1</v>
      </c>
      <c r="S5" s="33">
        <f t="shared" si="1"/>
        <v>1</v>
      </c>
      <c r="T5" s="33">
        <f t="shared" si="1"/>
        <v>1</v>
      </c>
      <c r="U5" s="33">
        <f t="shared" si="1"/>
        <v>1</v>
      </c>
      <c r="V5" s="33">
        <f t="shared" si="1"/>
        <v>1</v>
      </c>
      <c r="W5" s="33">
        <f t="shared" si="1"/>
        <v>1</v>
      </c>
      <c r="X5" s="33">
        <f t="shared" si="1"/>
        <v>0</v>
      </c>
      <c r="Y5" s="33">
        <f t="shared" si="1"/>
        <v>0</v>
      </c>
      <c r="Z5" s="33">
        <f t="shared" si="1"/>
        <v>0</v>
      </c>
      <c r="AA5" s="33">
        <f t="shared" si="1"/>
        <v>0</v>
      </c>
      <c r="AB5" s="33">
        <f t="shared" si="1"/>
        <v>0</v>
      </c>
      <c r="AC5" s="33">
        <f t="shared" si="1"/>
        <v>0</v>
      </c>
      <c r="AD5" s="33">
        <f t="shared" si="1"/>
        <v>0</v>
      </c>
      <c r="AE5" s="33">
        <f t="shared" si="1"/>
        <v>0</v>
      </c>
      <c r="AF5" s="33">
        <f t="shared" si="1"/>
        <v>0</v>
      </c>
      <c r="AG5" s="33">
        <f t="shared" si="1"/>
        <v>0</v>
      </c>
    </row>
    <row r="6" spans="1:33" x14ac:dyDescent="0.2">
      <c r="A6" t="s">
        <v>257</v>
      </c>
      <c r="B6" s="2" t="s">
        <v>248</v>
      </c>
      <c r="D6" s="33">
        <f t="shared" ref="D6:AG6" si="2">IF(AND(D4&lt;=Toll_Term,D4&lt;=BESS_Life),1,0)</f>
        <v>1</v>
      </c>
      <c r="E6" s="33">
        <f t="shared" si="2"/>
        <v>1</v>
      </c>
      <c r="F6" s="33">
        <f t="shared" si="2"/>
        <v>1</v>
      </c>
      <c r="G6" s="33">
        <f t="shared" si="2"/>
        <v>1</v>
      </c>
      <c r="H6" s="33">
        <f t="shared" si="2"/>
        <v>1</v>
      </c>
      <c r="I6" s="33">
        <f t="shared" si="2"/>
        <v>1</v>
      </c>
      <c r="J6" s="33">
        <f t="shared" si="2"/>
        <v>1</v>
      </c>
      <c r="K6" s="33">
        <f t="shared" si="2"/>
        <v>1</v>
      </c>
      <c r="L6" s="33">
        <f t="shared" si="2"/>
        <v>1</v>
      </c>
      <c r="M6" s="33">
        <f t="shared" si="2"/>
        <v>1</v>
      </c>
      <c r="N6" s="33">
        <f t="shared" si="2"/>
        <v>1</v>
      </c>
      <c r="O6" s="33">
        <f t="shared" si="2"/>
        <v>1</v>
      </c>
      <c r="P6" s="33">
        <f t="shared" si="2"/>
        <v>1</v>
      </c>
      <c r="Q6" s="33">
        <f t="shared" si="2"/>
        <v>1</v>
      </c>
      <c r="R6" s="33">
        <f t="shared" si="2"/>
        <v>1</v>
      </c>
      <c r="S6" s="33">
        <f t="shared" si="2"/>
        <v>0</v>
      </c>
      <c r="T6" s="33">
        <f t="shared" si="2"/>
        <v>0</v>
      </c>
      <c r="U6" s="33">
        <f t="shared" si="2"/>
        <v>0</v>
      </c>
      <c r="V6" s="33">
        <f t="shared" si="2"/>
        <v>0</v>
      </c>
      <c r="W6" s="33">
        <f t="shared" si="2"/>
        <v>0</v>
      </c>
      <c r="X6" s="33">
        <f t="shared" si="2"/>
        <v>0</v>
      </c>
      <c r="Y6" s="33">
        <f t="shared" si="2"/>
        <v>0</v>
      </c>
      <c r="Z6" s="33">
        <f t="shared" si="2"/>
        <v>0</v>
      </c>
      <c r="AA6" s="33">
        <f t="shared" si="2"/>
        <v>0</v>
      </c>
      <c r="AB6" s="33">
        <f t="shared" si="2"/>
        <v>0</v>
      </c>
      <c r="AC6" s="33">
        <f t="shared" si="2"/>
        <v>0</v>
      </c>
      <c r="AD6" s="33">
        <f t="shared" si="2"/>
        <v>0</v>
      </c>
      <c r="AE6" s="33">
        <f t="shared" si="2"/>
        <v>0</v>
      </c>
      <c r="AF6" s="33">
        <f t="shared" si="2"/>
        <v>0</v>
      </c>
      <c r="AG6" s="33">
        <f t="shared" si="2"/>
        <v>0</v>
      </c>
    </row>
    <row r="7" spans="1:33" x14ac:dyDescent="0.2">
      <c r="A7" t="s">
        <v>258</v>
      </c>
      <c r="B7" s="2" t="s">
        <v>136</v>
      </c>
      <c r="D7" s="34">
        <f t="shared" ref="D7:AG7" si="3">PPA_Price*(1+PPA_Escalator)^(D4-1)</f>
        <v>51</v>
      </c>
      <c r="E7" s="34">
        <f t="shared" si="3"/>
        <v>51</v>
      </c>
      <c r="F7" s="34">
        <f t="shared" si="3"/>
        <v>51</v>
      </c>
      <c r="G7" s="34">
        <f t="shared" si="3"/>
        <v>51</v>
      </c>
      <c r="H7" s="34">
        <f t="shared" si="3"/>
        <v>51</v>
      </c>
      <c r="I7" s="34">
        <f t="shared" si="3"/>
        <v>51</v>
      </c>
      <c r="J7" s="34">
        <f t="shared" si="3"/>
        <v>51</v>
      </c>
      <c r="K7" s="34">
        <f t="shared" si="3"/>
        <v>51</v>
      </c>
      <c r="L7" s="34">
        <f t="shared" si="3"/>
        <v>51</v>
      </c>
      <c r="M7" s="34">
        <f t="shared" si="3"/>
        <v>51</v>
      </c>
      <c r="N7" s="34">
        <f t="shared" si="3"/>
        <v>51</v>
      </c>
      <c r="O7" s="34">
        <f t="shared" si="3"/>
        <v>51</v>
      </c>
      <c r="P7" s="34">
        <f t="shared" si="3"/>
        <v>51</v>
      </c>
      <c r="Q7" s="34">
        <f t="shared" si="3"/>
        <v>51</v>
      </c>
      <c r="R7" s="34">
        <f t="shared" si="3"/>
        <v>51</v>
      </c>
      <c r="S7" s="34">
        <f t="shared" si="3"/>
        <v>51</v>
      </c>
      <c r="T7" s="34">
        <f t="shared" si="3"/>
        <v>51</v>
      </c>
      <c r="U7" s="34">
        <f t="shared" si="3"/>
        <v>51</v>
      </c>
      <c r="V7" s="34">
        <f t="shared" si="3"/>
        <v>51</v>
      </c>
      <c r="W7" s="34">
        <f t="shared" si="3"/>
        <v>51</v>
      </c>
      <c r="X7" s="34">
        <f t="shared" si="3"/>
        <v>51</v>
      </c>
      <c r="Y7" s="34">
        <f t="shared" si="3"/>
        <v>51</v>
      </c>
      <c r="Z7" s="34">
        <f t="shared" si="3"/>
        <v>51</v>
      </c>
      <c r="AA7" s="34">
        <f t="shared" si="3"/>
        <v>51</v>
      </c>
      <c r="AB7" s="34">
        <f t="shared" si="3"/>
        <v>51</v>
      </c>
      <c r="AC7" s="34">
        <f t="shared" si="3"/>
        <v>51</v>
      </c>
      <c r="AD7" s="34">
        <f t="shared" si="3"/>
        <v>51</v>
      </c>
      <c r="AE7" s="34">
        <f t="shared" si="3"/>
        <v>51</v>
      </c>
      <c r="AF7" s="34">
        <f t="shared" si="3"/>
        <v>51</v>
      </c>
      <c r="AG7" s="34">
        <f t="shared" si="3"/>
        <v>51</v>
      </c>
    </row>
    <row r="8" spans="1:33" x14ac:dyDescent="0.2">
      <c r="A8" t="s">
        <v>259</v>
      </c>
      <c r="B8" s="2" t="s">
        <v>136</v>
      </c>
      <c r="D8" s="34">
        <f t="shared" ref="D8:AG8" si="4">Merchant_Price*(1+Merchant_Escalation)^(D4-1)</f>
        <v>24</v>
      </c>
      <c r="E8" s="34">
        <f t="shared" si="4"/>
        <v>24.48</v>
      </c>
      <c r="F8" s="34">
        <f t="shared" si="4"/>
        <v>24.9696</v>
      </c>
      <c r="G8" s="34">
        <f t="shared" si="4"/>
        <v>25.468992</v>
      </c>
      <c r="H8" s="34">
        <f t="shared" si="4"/>
        <v>25.978371840000001</v>
      </c>
      <c r="I8" s="34">
        <f t="shared" si="4"/>
        <v>26.4979392768</v>
      </c>
      <c r="J8" s="34">
        <f t="shared" si="4"/>
        <v>27.027898062336</v>
      </c>
      <c r="K8" s="34">
        <f t="shared" si="4"/>
        <v>27.568456023582716</v>
      </c>
      <c r="L8" s="34">
        <f t="shared" si="4"/>
        <v>28.119825144054374</v>
      </c>
      <c r="M8" s="34">
        <f t="shared" si="4"/>
        <v>28.68222164693546</v>
      </c>
      <c r="N8" s="34">
        <f t="shared" si="4"/>
        <v>29.255866079874171</v>
      </c>
      <c r="O8" s="34">
        <f t="shared" si="4"/>
        <v>29.840983401471647</v>
      </c>
      <c r="P8" s="34">
        <f t="shared" si="4"/>
        <v>30.437803069501086</v>
      </c>
      <c r="Q8" s="34">
        <f t="shared" si="4"/>
        <v>31.046559130891104</v>
      </c>
      <c r="R8" s="34">
        <f t="shared" si="4"/>
        <v>31.667490313508932</v>
      </c>
      <c r="S8" s="34">
        <f t="shared" si="4"/>
        <v>32.300840119779103</v>
      </c>
      <c r="T8" s="34">
        <f t="shared" si="4"/>
        <v>32.946856922174689</v>
      </c>
      <c r="U8" s="34">
        <f t="shared" si="4"/>
        <v>33.605794060618187</v>
      </c>
      <c r="V8" s="34">
        <f t="shared" si="4"/>
        <v>34.277909941830544</v>
      </c>
      <c r="W8" s="34">
        <f t="shared" si="4"/>
        <v>34.963468140667153</v>
      </c>
      <c r="X8" s="34">
        <f t="shared" si="4"/>
        <v>35.6627375034805</v>
      </c>
      <c r="Y8" s="34">
        <f t="shared" si="4"/>
        <v>36.375992253550109</v>
      </c>
      <c r="Z8" s="34">
        <f t="shared" si="4"/>
        <v>37.10351209862111</v>
      </c>
      <c r="AA8" s="34">
        <f t="shared" si="4"/>
        <v>37.845582340593531</v>
      </c>
      <c r="AB8" s="34">
        <f t="shared" si="4"/>
        <v>38.602493987405403</v>
      </c>
      <c r="AC8" s="34">
        <f t="shared" si="4"/>
        <v>39.374543867153506</v>
      </c>
      <c r="AD8" s="34">
        <f t="shared" si="4"/>
        <v>40.16203474449658</v>
      </c>
      <c r="AE8" s="34">
        <f t="shared" si="4"/>
        <v>40.96527543938651</v>
      </c>
      <c r="AF8" s="34">
        <f t="shared" si="4"/>
        <v>41.784580948174245</v>
      </c>
      <c r="AG8" s="34">
        <f t="shared" si="4"/>
        <v>42.620272567137725</v>
      </c>
    </row>
    <row r="9" spans="1:33" x14ac:dyDescent="0.2">
      <c r="A9" t="s">
        <v>260</v>
      </c>
      <c r="B9" s="2" t="s">
        <v>136</v>
      </c>
      <c r="D9" s="35">
        <f t="shared" ref="D9:AG9" si="5">D5*D7+(1-D5)*D8</f>
        <v>51</v>
      </c>
      <c r="E9" s="35">
        <f t="shared" si="5"/>
        <v>51</v>
      </c>
      <c r="F9" s="35">
        <f t="shared" si="5"/>
        <v>51</v>
      </c>
      <c r="G9" s="35">
        <f t="shared" si="5"/>
        <v>51</v>
      </c>
      <c r="H9" s="35">
        <f t="shared" si="5"/>
        <v>51</v>
      </c>
      <c r="I9" s="35">
        <f t="shared" si="5"/>
        <v>51</v>
      </c>
      <c r="J9" s="35">
        <f t="shared" si="5"/>
        <v>51</v>
      </c>
      <c r="K9" s="35">
        <f t="shared" si="5"/>
        <v>51</v>
      </c>
      <c r="L9" s="35">
        <f t="shared" si="5"/>
        <v>51</v>
      </c>
      <c r="M9" s="35">
        <f t="shared" si="5"/>
        <v>51</v>
      </c>
      <c r="N9" s="35">
        <f t="shared" si="5"/>
        <v>51</v>
      </c>
      <c r="O9" s="35">
        <f t="shared" si="5"/>
        <v>51</v>
      </c>
      <c r="P9" s="35">
        <f t="shared" si="5"/>
        <v>51</v>
      </c>
      <c r="Q9" s="35">
        <f t="shared" si="5"/>
        <v>51</v>
      </c>
      <c r="R9" s="35">
        <f t="shared" si="5"/>
        <v>51</v>
      </c>
      <c r="S9" s="35">
        <f t="shared" si="5"/>
        <v>51</v>
      </c>
      <c r="T9" s="35">
        <f t="shared" si="5"/>
        <v>51</v>
      </c>
      <c r="U9" s="35">
        <f t="shared" si="5"/>
        <v>51</v>
      </c>
      <c r="V9" s="35">
        <f t="shared" si="5"/>
        <v>51</v>
      </c>
      <c r="W9" s="35">
        <f t="shared" si="5"/>
        <v>51</v>
      </c>
      <c r="X9" s="35">
        <f t="shared" si="5"/>
        <v>35.6627375034805</v>
      </c>
      <c r="Y9" s="35">
        <f t="shared" si="5"/>
        <v>36.375992253550109</v>
      </c>
      <c r="Z9" s="35">
        <f t="shared" si="5"/>
        <v>37.10351209862111</v>
      </c>
      <c r="AA9" s="35">
        <f t="shared" si="5"/>
        <v>37.845582340593531</v>
      </c>
      <c r="AB9" s="35">
        <f t="shared" si="5"/>
        <v>38.602493987405403</v>
      </c>
      <c r="AC9" s="35">
        <f t="shared" si="5"/>
        <v>39.374543867153506</v>
      </c>
      <c r="AD9" s="35">
        <f t="shared" si="5"/>
        <v>40.16203474449658</v>
      </c>
      <c r="AE9" s="35">
        <f t="shared" si="5"/>
        <v>40.96527543938651</v>
      </c>
      <c r="AF9" s="35">
        <f t="shared" si="5"/>
        <v>41.784580948174245</v>
      </c>
      <c r="AG9" s="35">
        <f t="shared" si="5"/>
        <v>42.620272567137725</v>
      </c>
    </row>
    <row r="10" spans="1:33" x14ac:dyDescent="0.2">
      <c r="A10" t="s">
        <v>261</v>
      </c>
      <c r="B10" s="2" t="s">
        <v>136</v>
      </c>
      <c r="D10" s="34">
        <f t="shared" ref="D10:AG10" si="6">D5*D7+(1-D5)*D8*(1+Merchant_Shock)</f>
        <v>51</v>
      </c>
      <c r="E10" s="34">
        <f t="shared" si="6"/>
        <v>51</v>
      </c>
      <c r="F10" s="34">
        <f t="shared" si="6"/>
        <v>51</v>
      </c>
      <c r="G10" s="34">
        <f t="shared" si="6"/>
        <v>51</v>
      </c>
      <c r="H10" s="34">
        <f t="shared" si="6"/>
        <v>51</v>
      </c>
      <c r="I10" s="34">
        <f t="shared" si="6"/>
        <v>51</v>
      </c>
      <c r="J10" s="34">
        <f t="shared" si="6"/>
        <v>51</v>
      </c>
      <c r="K10" s="34">
        <f t="shared" si="6"/>
        <v>51</v>
      </c>
      <c r="L10" s="34">
        <f t="shared" si="6"/>
        <v>51</v>
      </c>
      <c r="M10" s="34">
        <f t="shared" si="6"/>
        <v>51</v>
      </c>
      <c r="N10" s="34">
        <f t="shared" si="6"/>
        <v>51</v>
      </c>
      <c r="O10" s="34">
        <f t="shared" si="6"/>
        <v>51</v>
      </c>
      <c r="P10" s="34">
        <f t="shared" si="6"/>
        <v>51</v>
      </c>
      <c r="Q10" s="34">
        <f t="shared" si="6"/>
        <v>51</v>
      </c>
      <c r="R10" s="34">
        <f t="shared" si="6"/>
        <v>51</v>
      </c>
      <c r="S10" s="34">
        <f t="shared" si="6"/>
        <v>51</v>
      </c>
      <c r="T10" s="34">
        <f t="shared" si="6"/>
        <v>51</v>
      </c>
      <c r="U10" s="34">
        <f t="shared" si="6"/>
        <v>51</v>
      </c>
      <c r="V10" s="34">
        <f t="shared" si="6"/>
        <v>51</v>
      </c>
      <c r="W10" s="34">
        <f t="shared" si="6"/>
        <v>51</v>
      </c>
      <c r="X10" s="34">
        <f t="shared" si="6"/>
        <v>35.6627375034805</v>
      </c>
      <c r="Y10" s="34">
        <f t="shared" si="6"/>
        <v>36.375992253550109</v>
      </c>
      <c r="Z10" s="34">
        <f t="shared" si="6"/>
        <v>37.10351209862111</v>
      </c>
      <c r="AA10" s="34">
        <f t="shared" si="6"/>
        <v>37.845582340593531</v>
      </c>
      <c r="AB10" s="34">
        <f t="shared" si="6"/>
        <v>38.602493987405403</v>
      </c>
      <c r="AC10" s="34">
        <f t="shared" si="6"/>
        <v>39.374543867153506</v>
      </c>
      <c r="AD10" s="34">
        <f t="shared" si="6"/>
        <v>40.16203474449658</v>
      </c>
      <c r="AE10" s="34">
        <f t="shared" si="6"/>
        <v>40.96527543938651</v>
      </c>
      <c r="AF10" s="34">
        <f t="shared" si="6"/>
        <v>41.784580948174245</v>
      </c>
      <c r="AG10" s="34">
        <f t="shared" si="6"/>
        <v>42.620272567137725</v>
      </c>
    </row>
    <row r="12" spans="1:33" x14ac:dyDescent="0.2">
      <c r="A12" t="s">
        <v>262</v>
      </c>
      <c r="B12" s="2" t="s">
        <v>45</v>
      </c>
      <c r="D12" s="28">
        <f>Generation!D12*D9</f>
        <v>27309634.631999999</v>
      </c>
      <c r="E12" s="28">
        <f>Generation!E12*E9</f>
        <v>27118467.189576</v>
      </c>
      <c r="F12" s="28">
        <f>Generation!F12*F9</f>
        <v>26928637.919248965</v>
      </c>
      <c r="G12" s="28">
        <f>Generation!G12*G9</f>
        <v>26740137.45381422</v>
      </c>
      <c r="H12" s="28">
        <f>Generation!H12*H9</f>
        <v>26552956.49163752</v>
      </c>
      <c r="I12" s="28">
        <f>Generation!I12*I9</f>
        <v>26367085.796196062</v>
      </c>
      <c r="J12" s="28">
        <f>Generation!J12*J9</f>
        <v>26182516.195622686</v>
      </c>
      <c r="K12" s="28">
        <f>Generation!K12*K9</f>
        <v>25999238.582253329</v>
      </c>
      <c r="L12" s="28">
        <f>Generation!L12*L9</f>
        <v>25817243.912177555</v>
      </c>
      <c r="M12" s="28">
        <f>Generation!M12*M9</f>
        <v>25636523.20479231</v>
      </c>
      <c r="N12" s="28">
        <f>Generation!N12*N9</f>
        <v>25457067.542358764</v>
      </c>
      <c r="O12" s="28">
        <f>Generation!O12*O9</f>
        <v>25278868.069562253</v>
      </c>
      <c r="P12" s="28">
        <f>Generation!P12*P9</f>
        <v>25101915.993075315</v>
      </c>
      <c r="Q12" s="28">
        <f>Generation!Q12*Q9</f>
        <v>24926202.581123788</v>
      </c>
      <c r="R12" s="28">
        <f>Generation!R12*R9</f>
        <v>24751719.163055919</v>
      </c>
      <c r="S12" s="28">
        <f>Generation!S12*S9</f>
        <v>24578457.128914528</v>
      </c>
      <c r="T12" s="28">
        <f>Generation!T12*T9</f>
        <v>24406407.929012123</v>
      </c>
      <c r="U12" s="28">
        <f>Generation!U12*U9</f>
        <v>24235563.073509037</v>
      </c>
      <c r="V12" s="28">
        <f>Generation!V12*V9</f>
        <v>24065914.131994475</v>
      </c>
      <c r="W12" s="28">
        <f>Generation!W12*W9</f>
        <v>23897452.733070511</v>
      </c>
      <c r="X12" s="28">
        <f>Generation!X12*X9</f>
        <v>16593781.24969759</v>
      </c>
      <c r="Y12" s="28">
        <f>Generation!Y12*Y9</f>
        <v>16807177.2765687</v>
      </c>
      <c r="Z12" s="28">
        <f>Generation!Z12*Z9</f>
        <v>17023317.576345373</v>
      </c>
      <c r="AA12" s="28">
        <f>Generation!AA12*AA9</f>
        <v>17242237.440377172</v>
      </c>
      <c r="AB12" s="28">
        <f>Generation!AB12*AB9</f>
        <v>17463972.613860421</v>
      </c>
      <c r="AC12" s="28">
        <f>Generation!AC12*AC9</f>
        <v>17688559.301674664</v>
      </c>
      <c r="AD12" s="28">
        <f>Generation!AD12*AD9</f>
        <v>17916034.174294204</v>
      </c>
      <c r="AE12" s="28">
        <f>Generation!AE12*AE9</f>
        <v>18146434.373775624</v>
      </c>
      <c r="AF12" s="28">
        <f>Generation!AF12*AF9</f>
        <v>18379797.519822381</v>
      </c>
      <c r="AG12" s="28">
        <f>Generation!AG12*AG9</f>
        <v>18616161.715927295</v>
      </c>
    </row>
    <row r="13" spans="1:33" x14ac:dyDescent="0.2">
      <c r="A13" t="s">
        <v>263</v>
      </c>
      <c r="B13" s="2" t="s">
        <v>45</v>
      </c>
      <c r="D13" s="28">
        <f>Generation!D13*D9</f>
        <v>25209632.967337731</v>
      </c>
      <c r="E13" s="28">
        <f>Generation!E13*E9</f>
        <v>25033165.536566366</v>
      </c>
      <c r="F13" s="28">
        <f>Generation!F13*F9</f>
        <v>24857933.377810396</v>
      </c>
      <c r="G13" s="28">
        <f>Generation!G13*G9</f>
        <v>24683927.844165724</v>
      </c>
      <c r="H13" s="28">
        <f>Generation!H13*H9</f>
        <v>24511140.349256564</v>
      </c>
      <c r="I13" s="28">
        <f>Generation!I13*I9</f>
        <v>24339562.366811771</v>
      </c>
      <c r="J13" s="28">
        <f>Generation!J13*J9</f>
        <v>24169185.430244084</v>
      </c>
      <c r="K13" s="28">
        <f>Generation!K13*K9</f>
        <v>24000001.132232375</v>
      </c>
      <c r="L13" s="28">
        <f>Generation!L13*L9</f>
        <v>23832001.12430675</v>
      </c>
      <c r="M13" s="28">
        <f>Generation!M13*M9</f>
        <v>23665177.116436601</v>
      </c>
      <c r="N13" s="28">
        <f>Generation!N13*N9</f>
        <v>23499520.876621548</v>
      </c>
      <c r="O13" s="28">
        <f>Generation!O13*O9</f>
        <v>23335024.230485193</v>
      </c>
      <c r="P13" s="28">
        <f>Generation!P13*P9</f>
        <v>23171679.060871799</v>
      </c>
      <c r="Q13" s="28">
        <f>Generation!Q13*Q9</f>
        <v>23009477.307445694</v>
      </c>
      <c r="R13" s="28">
        <f>Generation!R13*R9</f>
        <v>22848410.966293573</v>
      </c>
      <c r="S13" s="28">
        <f>Generation!S13*S9</f>
        <v>22688472.089529518</v>
      </c>
      <c r="T13" s="28">
        <f>Generation!T13*T9</f>
        <v>22529652.784902807</v>
      </c>
      <c r="U13" s="28">
        <f>Generation!U13*U9</f>
        <v>22371945.215408485</v>
      </c>
      <c r="V13" s="28">
        <f>Generation!V13*V9</f>
        <v>22215341.598900627</v>
      </c>
      <c r="W13" s="28">
        <f>Generation!W13*W9</f>
        <v>22059834.207708322</v>
      </c>
      <c r="X13" s="28">
        <f>Generation!X13*X9</f>
        <v>15317785.846720845</v>
      </c>
      <c r="Y13" s="28">
        <f>Generation!Y13*Y9</f>
        <v>15514772.572709674</v>
      </c>
      <c r="Z13" s="28">
        <f>Generation!Z13*Z9</f>
        <v>15714292.54799472</v>
      </c>
      <c r="AA13" s="28">
        <f>Generation!AA13*AA9</f>
        <v>15916378.350161931</v>
      </c>
      <c r="AB13" s="28">
        <f>Generation!AB13*AB9</f>
        <v>16121062.975745013</v>
      </c>
      <c r="AC13" s="28">
        <f>Generation!AC13*AC9</f>
        <v>16328379.845613088</v>
      </c>
      <c r="AD13" s="28">
        <f>Generation!AD13*AD9</f>
        <v>16538362.810427677</v>
      </c>
      <c r="AE13" s="28">
        <f>Generation!AE13*AE9</f>
        <v>16751046.156169774</v>
      </c>
      <c r="AF13" s="28">
        <f>Generation!AF13*AF9</f>
        <v>16966464.609738119</v>
      </c>
      <c r="AG13" s="28">
        <f>Generation!AG13*AG9</f>
        <v>17184653.344619352</v>
      </c>
    </row>
    <row r="14" spans="1:33" x14ac:dyDescent="0.2">
      <c r="A14" t="s">
        <v>264</v>
      </c>
      <c r="B14" s="2" t="s">
        <v>45</v>
      </c>
      <c r="D14" s="28">
        <f>Generation!D14*D10</f>
        <v>27309634.631999999</v>
      </c>
      <c r="E14" s="28">
        <f>Generation!E14*E10</f>
        <v>27118467.189576</v>
      </c>
      <c r="F14" s="28">
        <f>Generation!F14*F10</f>
        <v>26928637.919248965</v>
      </c>
      <c r="G14" s="28">
        <f>Generation!G14*G10</f>
        <v>26740137.45381422</v>
      </c>
      <c r="H14" s="28">
        <f>Generation!H14*H10</f>
        <v>26552956.49163752</v>
      </c>
      <c r="I14" s="28">
        <f>Generation!I14*I10</f>
        <v>26367085.796196062</v>
      </c>
      <c r="J14" s="28">
        <f>Generation!J14*J10</f>
        <v>26182516.195622686</v>
      </c>
      <c r="K14" s="28">
        <f>Generation!K14*K10</f>
        <v>25999238.582253329</v>
      </c>
      <c r="L14" s="28">
        <f>Generation!L14*L10</f>
        <v>25817243.912177555</v>
      </c>
      <c r="M14" s="28">
        <f>Generation!M14*M10</f>
        <v>25636523.20479231</v>
      </c>
      <c r="N14" s="28">
        <f>Generation!N14*N10</f>
        <v>25457067.542358764</v>
      </c>
      <c r="O14" s="28">
        <f>Generation!O14*O10</f>
        <v>25278868.069562253</v>
      </c>
      <c r="P14" s="28">
        <f>Generation!P14*P10</f>
        <v>25101915.993075315</v>
      </c>
      <c r="Q14" s="28">
        <f>Generation!Q14*Q10</f>
        <v>24926202.581123788</v>
      </c>
      <c r="R14" s="28">
        <f>Generation!R14*R10</f>
        <v>24751719.163055919</v>
      </c>
      <c r="S14" s="28">
        <f>Generation!S14*S10</f>
        <v>24578457.128914528</v>
      </c>
      <c r="T14" s="28">
        <f>Generation!T14*T10</f>
        <v>24406407.929012123</v>
      </c>
      <c r="U14" s="28">
        <f>Generation!U14*U10</f>
        <v>24235563.073509037</v>
      </c>
      <c r="V14" s="28">
        <f>Generation!V14*V10</f>
        <v>24065914.131994475</v>
      </c>
      <c r="W14" s="28">
        <f>Generation!W14*W10</f>
        <v>23897452.733070511</v>
      </c>
      <c r="X14" s="28">
        <f>Generation!X14*X10</f>
        <v>16593781.24969759</v>
      </c>
      <c r="Y14" s="28">
        <f>Generation!Y14*Y10</f>
        <v>16807177.2765687</v>
      </c>
      <c r="Z14" s="28">
        <f>Generation!Z14*Z10</f>
        <v>17023317.576345373</v>
      </c>
      <c r="AA14" s="28">
        <f>Generation!AA14*AA10</f>
        <v>17242237.440377172</v>
      </c>
      <c r="AB14" s="28">
        <f>Generation!AB14*AB10</f>
        <v>17463972.613860421</v>
      </c>
      <c r="AC14" s="28">
        <f>Generation!AC14*AC10</f>
        <v>17688559.301674664</v>
      </c>
      <c r="AD14" s="28">
        <f>Generation!AD14*AD10</f>
        <v>17916034.174294204</v>
      </c>
      <c r="AE14" s="28">
        <f>Generation!AE14*AE10</f>
        <v>18146434.373775624</v>
      </c>
      <c r="AF14" s="28">
        <f>Generation!AF14*AF10</f>
        <v>18379797.519822381</v>
      </c>
      <c r="AG14" s="28">
        <f>Generation!AG14*AG10</f>
        <v>18616161.715927295</v>
      </c>
    </row>
    <row r="15" spans="1:33" x14ac:dyDescent="0.2">
      <c r="A15" t="s">
        <v>265</v>
      </c>
      <c r="B15" s="2" t="s">
        <v>45</v>
      </c>
      <c r="D15" s="28">
        <f t="shared" ref="D15:AG15" si="7">Toll_Price*BESS_MW*kW_per_MW*Months*D6</f>
        <v>14400000</v>
      </c>
      <c r="E15" s="28">
        <f t="shared" si="7"/>
        <v>14400000</v>
      </c>
      <c r="F15" s="28">
        <f t="shared" si="7"/>
        <v>14400000</v>
      </c>
      <c r="G15" s="28">
        <f t="shared" si="7"/>
        <v>14400000</v>
      </c>
      <c r="H15" s="28">
        <f t="shared" si="7"/>
        <v>14400000</v>
      </c>
      <c r="I15" s="28">
        <f t="shared" si="7"/>
        <v>14400000</v>
      </c>
      <c r="J15" s="28">
        <f t="shared" si="7"/>
        <v>14400000</v>
      </c>
      <c r="K15" s="28">
        <f t="shared" si="7"/>
        <v>14400000</v>
      </c>
      <c r="L15" s="28">
        <f t="shared" si="7"/>
        <v>14400000</v>
      </c>
      <c r="M15" s="28">
        <f t="shared" si="7"/>
        <v>14400000</v>
      </c>
      <c r="N15" s="28">
        <f t="shared" si="7"/>
        <v>14400000</v>
      </c>
      <c r="O15" s="28">
        <f t="shared" si="7"/>
        <v>14400000</v>
      </c>
      <c r="P15" s="28">
        <f t="shared" si="7"/>
        <v>14400000</v>
      </c>
      <c r="Q15" s="28">
        <f t="shared" si="7"/>
        <v>14400000</v>
      </c>
      <c r="R15" s="28">
        <f t="shared" si="7"/>
        <v>14400000</v>
      </c>
      <c r="S15" s="28">
        <f t="shared" si="7"/>
        <v>0</v>
      </c>
      <c r="T15" s="28">
        <f t="shared" si="7"/>
        <v>0</v>
      </c>
      <c r="U15" s="28">
        <f t="shared" si="7"/>
        <v>0</v>
      </c>
      <c r="V15" s="28">
        <f t="shared" si="7"/>
        <v>0</v>
      </c>
      <c r="W15" s="28">
        <f t="shared" si="7"/>
        <v>0</v>
      </c>
      <c r="X15" s="28">
        <f t="shared" si="7"/>
        <v>0</v>
      </c>
      <c r="Y15" s="28">
        <f t="shared" si="7"/>
        <v>0</v>
      </c>
      <c r="Z15" s="28">
        <f t="shared" si="7"/>
        <v>0</v>
      </c>
      <c r="AA15" s="28">
        <f t="shared" si="7"/>
        <v>0</v>
      </c>
      <c r="AB15" s="28">
        <f t="shared" si="7"/>
        <v>0</v>
      </c>
      <c r="AC15" s="28">
        <f t="shared" si="7"/>
        <v>0</v>
      </c>
      <c r="AD15" s="28">
        <f t="shared" si="7"/>
        <v>0</v>
      </c>
      <c r="AE15" s="28">
        <f t="shared" si="7"/>
        <v>0</v>
      </c>
      <c r="AF15" s="28">
        <f t="shared" si="7"/>
        <v>0</v>
      </c>
      <c r="AG15" s="28">
        <f t="shared" si="7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3" ht="18" x14ac:dyDescent="0.2">
      <c r="A1" s="9" t="s">
        <v>126</v>
      </c>
    </row>
    <row r="2" spans="1:33" x14ac:dyDescent="0.2">
      <c r="A2" s="2" t="s">
        <v>266</v>
      </c>
    </row>
    <row r="4" spans="1:33" x14ac:dyDescent="0.2">
      <c r="A4" s="30" t="s">
        <v>243</v>
      </c>
      <c r="B4" s="30" t="s">
        <v>71</v>
      </c>
      <c r="C4" s="31"/>
      <c r="D4" s="31">
        <v>1</v>
      </c>
      <c r="E4" s="31">
        <f t="shared" ref="E4:AG4" si="0">D4+1</f>
        <v>2</v>
      </c>
      <c r="F4" s="31">
        <f t="shared" si="0"/>
        <v>3</v>
      </c>
      <c r="G4" s="31">
        <f t="shared" si="0"/>
        <v>4</v>
      </c>
      <c r="H4" s="31">
        <f t="shared" si="0"/>
        <v>5</v>
      </c>
      <c r="I4" s="31">
        <f t="shared" si="0"/>
        <v>6</v>
      </c>
      <c r="J4" s="31">
        <f t="shared" si="0"/>
        <v>7</v>
      </c>
      <c r="K4" s="31">
        <f t="shared" si="0"/>
        <v>8</v>
      </c>
      <c r="L4" s="31">
        <f t="shared" si="0"/>
        <v>9</v>
      </c>
      <c r="M4" s="31">
        <f t="shared" si="0"/>
        <v>10</v>
      </c>
      <c r="N4" s="31">
        <f t="shared" si="0"/>
        <v>11</v>
      </c>
      <c r="O4" s="31">
        <f t="shared" si="0"/>
        <v>12</v>
      </c>
      <c r="P4" s="31">
        <f t="shared" si="0"/>
        <v>13</v>
      </c>
      <c r="Q4" s="31">
        <f t="shared" si="0"/>
        <v>14</v>
      </c>
      <c r="R4" s="31">
        <f t="shared" si="0"/>
        <v>15</v>
      </c>
      <c r="S4" s="31">
        <f t="shared" si="0"/>
        <v>16</v>
      </c>
      <c r="T4" s="31">
        <f t="shared" si="0"/>
        <v>17</v>
      </c>
      <c r="U4" s="31">
        <f t="shared" si="0"/>
        <v>18</v>
      </c>
      <c r="V4" s="31">
        <f t="shared" si="0"/>
        <v>19</v>
      </c>
      <c r="W4" s="31">
        <f t="shared" si="0"/>
        <v>20</v>
      </c>
      <c r="X4" s="31">
        <f t="shared" si="0"/>
        <v>21</v>
      </c>
      <c r="Y4" s="31">
        <f t="shared" si="0"/>
        <v>22</v>
      </c>
      <c r="Z4" s="31">
        <f t="shared" si="0"/>
        <v>23</v>
      </c>
      <c r="AA4" s="31">
        <f t="shared" si="0"/>
        <v>24</v>
      </c>
      <c r="AB4" s="30">
        <f t="shared" si="0"/>
        <v>25</v>
      </c>
      <c r="AC4" s="31">
        <f t="shared" si="0"/>
        <v>26</v>
      </c>
      <c r="AD4" s="31">
        <f t="shared" si="0"/>
        <v>27</v>
      </c>
      <c r="AE4" s="31">
        <f t="shared" si="0"/>
        <v>28</v>
      </c>
      <c r="AF4" s="31">
        <f t="shared" si="0"/>
        <v>29</v>
      </c>
      <c r="AG4" s="31">
        <f t="shared" si="0"/>
        <v>30</v>
      </c>
    </row>
    <row r="5" spans="1:33" x14ac:dyDescent="0.2">
      <c r="A5" t="s">
        <v>267</v>
      </c>
      <c r="B5" s="2" t="s">
        <v>251</v>
      </c>
      <c r="D5" s="32">
        <f t="shared" ref="D5:AG5" si="1">(1+Opex_Escalation)^(D4-1)</f>
        <v>1</v>
      </c>
      <c r="E5" s="32">
        <f t="shared" si="1"/>
        <v>1.0249999999999999</v>
      </c>
      <c r="F5" s="32">
        <f t="shared" si="1"/>
        <v>1.0506249999999999</v>
      </c>
      <c r="G5" s="32">
        <f t="shared" si="1"/>
        <v>1.0768906249999999</v>
      </c>
      <c r="H5" s="32">
        <f t="shared" si="1"/>
        <v>1.1038128906249998</v>
      </c>
      <c r="I5" s="32">
        <f t="shared" si="1"/>
        <v>1.1314082128906247</v>
      </c>
      <c r="J5" s="32">
        <f t="shared" si="1"/>
        <v>1.1596934182128902</v>
      </c>
      <c r="K5" s="32">
        <f t="shared" si="1"/>
        <v>1.1886857536682125</v>
      </c>
      <c r="L5" s="32">
        <f t="shared" si="1"/>
        <v>1.2184028975099177</v>
      </c>
      <c r="M5" s="32">
        <f t="shared" si="1"/>
        <v>1.2488629699476654</v>
      </c>
      <c r="N5" s="32">
        <f t="shared" si="1"/>
        <v>1.2800845441963571</v>
      </c>
      <c r="O5" s="32">
        <f t="shared" si="1"/>
        <v>1.312086657801266</v>
      </c>
      <c r="P5" s="32">
        <f t="shared" si="1"/>
        <v>1.3448888242462975</v>
      </c>
      <c r="Q5" s="32">
        <f t="shared" si="1"/>
        <v>1.3785110448524549</v>
      </c>
      <c r="R5" s="32">
        <f t="shared" si="1"/>
        <v>1.4129738209737661</v>
      </c>
      <c r="S5" s="32">
        <f t="shared" si="1"/>
        <v>1.4482981664981105</v>
      </c>
      <c r="T5" s="32">
        <f t="shared" si="1"/>
        <v>1.4845056206605631</v>
      </c>
      <c r="U5" s="32">
        <f t="shared" si="1"/>
        <v>1.521618261177077</v>
      </c>
      <c r="V5" s="32">
        <f t="shared" si="1"/>
        <v>1.559658717706504</v>
      </c>
      <c r="W5" s="32">
        <f t="shared" si="1"/>
        <v>1.5986501856491666</v>
      </c>
      <c r="X5" s="32">
        <f t="shared" si="1"/>
        <v>1.6386164402903955</v>
      </c>
      <c r="Y5" s="32">
        <f t="shared" si="1"/>
        <v>1.6795818512976552</v>
      </c>
      <c r="Z5" s="32">
        <f t="shared" si="1"/>
        <v>1.7215713975800966</v>
      </c>
      <c r="AA5" s="32">
        <f t="shared" si="1"/>
        <v>1.7646106825195991</v>
      </c>
      <c r="AB5" s="32">
        <f t="shared" si="1"/>
        <v>1.8087259495825889</v>
      </c>
      <c r="AC5" s="32">
        <f t="shared" si="1"/>
        <v>1.8539440983221533</v>
      </c>
      <c r="AD5" s="32">
        <f t="shared" si="1"/>
        <v>1.9002927007802071</v>
      </c>
      <c r="AE5" s="32">
        <f t="shared" si="1"/>
        <v>1.9478000182997122</v>
      </c>
      <c r="AF5" s="32">
        <f t="shared" si="1"/>
        <v>1.9964950187572048</v>
      </c>
      <c r="AG5" s="32">
        <f t="shared" si="1"/>
        <v>2.0464073942261352</v>
      </c>
    </row>
    <row r="6" spans="1:33" x14ac:dyDescent="0.2">
      <c r="A6" t="s">
        <v>268</v>
      </c>
      <c r="B6" s="2" t="s">
        <v>45</v>
      </c>
      <c r="D6" s="28">
        <f>PV_FOM_Per_kWac*PV_MWac*kW_per_MW*D5*Generation!D9</f>
        <v>4400000</v>
      </c>
      <c r="E6" s="28">
        <f>PV_FOM_Per_kWac*PV_MWac*kW_per_MW*E5*Generation!E9</f>
        <v>4510000</v>
      </c>
      <c r="F6" s="28">
        <f>PV_FOM_Per_kWac*PV_MWac*kW_per_MW*F5*Generation!F9</f>
        <v>4622750</v>
      </c>
      <c r="G6" s="28">
        <f>PV_FOM_Per_kWac*PV_MWac*kW_per_MW*G5*Generation!G9</f>
        <v>4738318.7499999991</v>
      </c>
      <c r="H6" s="28">
        <f>PV_FOM_Per_kWac*PV_MWac*kW_per_MW*H5*Generation!H9</f>
        <v>4856776.7187499991</v>
      </c>
      <c r="I6" s="28">
        <f>PV_FOM_Per_kWac*PV_MWac*kW_per_MW*I5*Generation!I9</f>
        <v>4978196.1367187481</v>
      </c>
      <c r="J6" s="28">
        <f>PV_FOM_Per_kWac*PV_MWac*kW_per_MW*J5*Generation!J9</f>
        <v>5102651.0401367173</v>
      </c>
      <c r="K6" s="28">
        <f>PV_FOM_Per_kWac*PV_MWac*kW_per_MW*K5*Generation!K9</f>
        <v>5230217.3161401348</v>
      </c>
      <c r="L6" s="28">
        <f>PV_FOM_Per_kWac*PV_MWac*kW_per_MW*L5*Generation!L9</f>
        <v>5360972.7490436379</v>
      </c>
      <c r="M6" s="28">
        <f>PV_FOM_Per_kWac*PV_MWac*kW_per_MW*M5*Generation!M9</f>
        <v>5494997.0677697277</v>
      </c>
      <c r="N6" s="28">
        <f>PV_FOM_Per_kWac*PV_MWac*kW_per_MW*N5*Generation!N9</f>
        <v>5632371.9944639709</v>
      </c>
      <c r="O6" s="28">
        <f>PV_FOM_Per_kWac*PV_MWac*kW_per_MW*O5*Generation!O9</f>
        <v>5773181.2943255706</v>
      </c>
      <c r="P6" s="28">
        <f>PV_FOM_Per_kWac*PV_MWac*kW_per_MW*P5*Generation!P9</f>
        <v>5917510.8266837094</v>
      </c>
      <c r="Q6" s="28">
        <f>PV_FOM_Per_kWac*PV_MWac*kW_per_MW*Q5*Generation!Q9</f>
        <v>6065448.5973508013</v>
      </c>
      <c r="R6" s="28">
        <f>PV_FOM_Per_kWac*PV_MWac*kW_per_MW*R5*Generation!R9</f>
        <v>6217084.8122845711</v>
      </c>
      <c r="S6" s="28">
        <f>PV_FOM_Per_kWac*PV_MWac*kW_per_MW*S5*Generation!S9</f>
        <v>6372511.932591686</v>
      </c>
      <c r="T6" s="28">
        <f>PV_FOM_Per_kWac*PV_MWac*kW_per_MW*T5*Generation!T9</f>
        <v>6531824.7309064781</v>
      </c>
      <c r="U6" s="28">
        <f>PV_FOM_Per_kWac*PV_MWac*kW_per_MW*U5*Generation!U9</f>
        <v>6695120.3491791384</v>
      </c>
      <c r="V6" s="28">
        <f>PV_FOM_Per_kWac*PV_MWac*kW_per_MW*V5*Generation!V9</f>
        <v>6862498.3579086177</v>
      </c>
      <c r="W6" s="28">
        <f>PV_FOM_Per_kWac*PV_MWac*kW_per_MW*W5*Generation!W9</f>
        <v>7034060.8168563331</v>
      </c>
      <c r="X6" s="28">
        <f>PV_FOM_Per_kWac*PV_MWac*kW_per_MW*X5*Generation!X9</f>
        <v>7209912.3372777402</v>
      </c>
      <c r="Y6" s="28">
        <f>PV_FOM_Per_kWac*PV_MWac*kW_per_MW*Y5*Generation!Y9</f>
        <v>7390160.1457096832</v>
      </c>
      <c r="Z6" s="28">
        <f>PV_FOM_Per_kWac*PV_MWac*kW_per_MW*Z5*Generation!Z9</f>
        <v>7574914.1493524248</v>
      </c>
      <c r="AA6" s="28">
        <f>PV_FOM_Per_kWac*PV_MWac*kW_per_MW*AA5*Generation!AA9</f>
        <v>7764287.0030862363</v>
      </c>
      <c r="AB6" s="28">
        <f>PV_FOM_Per_kWac*PV_MWac*kW_per_MW*AB5*Generation!AB9</f>
        <v>7958394.1781633915</v>
      </c>
      <c r="AC6" s="28">
        <f>PV_FOM_Per_kWac*PV_MWac*kW_per_MW*AC5*Generation!AC9</f>
        <v>8157354.0326174749</v>
      </c>
      <c r="AD6" s="28">
        <f>PV_FOM_Per_kWac*PV_MWac*kW_per_MW*AD5*Generation!AD9</f>
        <v>8361287.8834329108</v>
      </c>
      <c r="AE6" s="28">
        <f>PV_FOM_Per_kWac*PV_MWac*kW_per_MW*AE5*Generation!AE9</f>
        <v>8570320.0805187337</v>
      </c>
      <c r="AF6" s="28">
        <f>PV_FOM_Per_kWac*PV_MWac*kW_per_MW*AF5*Generation!AF9</f>
        <v>8784578.0825317018</v>
      </c>
      <c r="AG6" s="28">
        <f>PV_FOM_Per_kWac*PV_MWac*kW_per_MW*AG5*Generation!AG9</f>
        <v>9004192.534594994</v>
      </c>
    </row>
    <row r="7" spans="1:33" x14ac:dyDescent="0.2">
      <c r="A7" t="s">
        <v>269</v>
      </c>
      <c r="B7" s="2" t="s">
        <v>45</v>
      </c>
      <c r="D7" s="28">
        <f>BESS_FOM_Pct*BESS_Capex_Base*D5*Generation!D10</f>
        <v>3340000</v>
      </c>
      <c r="E7" s="28">
        <f>BESS_FOM_Pct*BESS_Capex_Base*E5*Generation!E10</f>
        <v>3423499.9999999995</v>
      </c>
      <c r="F7" s="28">
        <f>BESS_FOM_Pct*BESS_Capex_Base*F5*Generation!F10</f>
        <v>3509087.4999999995</v>
      </c>
      <c r="G7" s="28">
        <f>BESS_FOM_Pct*BESS_Capex_Base*G5*Generation!G10</f>
        <v>3596814.6874999995</v>
      </c>
      <c r="H7" s="28">
        <f>BESS_FOM_Pct*BESS_Capex_Base*H5*Generation!H10</f>
        <v>3686735.0546874991</v>
      </c>
      <c r="I7" s="28">
        <f>BESS_FOM_Pct*BESS_Capex_Base*I5*Generation!I10</f>
        <v>3778903.4310546862</v>
      </c>
      <c r="J7" s="28">
        <f>BESS_FOM_Pct*BESS_Capex_Base*J5*Generation!J10</f>
        <v>3873376.0168310534</v>
      </c>
      <c r="K7" s="28">
        <f>BESS_FOM_Pct*BESS_Capex_Base*K5*Generation!K10</f>
        <v>3970210.4172518295</v>
      </c>
      <c r="L7" s="28">
        <f>BESS_FOM_Pct*BESS_Capex_Base*L5*Generation!L10</f>
        <v>4069465.6776831253</v>
      </c>
      <c r="M7" s="28">
        <f>BESS_FOM_Pct*BESS_Capex_Base*M5*Generation!M10</f>
        <v>4171202.3196252026</v>
      </c>
      <c r="N7" s="28">
        <f>BESS_FOM_Pct*BESS_Capex_Base*N5*Generation!N10</f>
        <v>4275482.3776158327</v>
      </c>
      <c r="O7" s="28">
        <f>BESS_FOM_Pct*BESS_Capex_Base*O5*Generation!O10</f>
        <v>4382369.4370562285</v>
      </c>
      <c r="P7" s="28">
        <f>BESS_FOM_Pct*BESS_Capex_Base*P5*Generation!P10</f>
        <v>4491928.672982634</v>
      </c>
      <c r="Q7" s="28">
        <f>BESS_FOM_Pct*BESS_Capex_Base*Q5*Generation!Q10</f>
        <v>4604226.8898071991</v>
      </c>
      <c r="R7" s="28">
        <f>BESS_FOM_Pct*BESS_Capex_Base*R5*Generation!R10</f>
        <v>4719332.5620523784</v>
      </c>
      <c r="S7" s="28">
        <f>BESS_FOM_Pct*BESS_Capex_Base*S5*Generation!S10</f>
        <v>0</v>
      </c>
      <c r="T7" s="28">
        <f>BESS_FOM_Pct*BESS_Capex_Base*T5*Generation!T10</f>
        <v>0</v>
      </c>
      <c r="U7" s="28">
        <f>BESS_FOM_Pct*BESS_Capex_Base*U5*Generation!U10</f>
        <v>0</v>
      </c>
      <c r="V7" s="28">
        <f>BESS_FOM_Pct*BESS_Capex_Base*V5*Generation!V10</f>
        <v>0</v>
      </c>
      <c r="W7" s="28">
        <f>BESS_FOM_Pct*BESS_Capex_Base*W5*Generation!W10</f>
        <v>0</v>
      </c>
      <c r="X7" s="28">
        <f>BESS_FOM_Pct*BESS_Capex_Base*X5*Generation!X10</f>
        <v>0</v>
      </c>
      <c r="Y7" s="28">
        <f>BESS_FOM_Pct*BESS_Capex_Base*Y5*Generation!Y10</f>
        <v>0</v>
      </c>
      <c r="Z7" s="28">
        <f>BESS_FOM_Pct*BESS_Capex_Base*Z5*Generation!Z10</f>
        <v>0</v>
      </c>
      <c r="AA7" s="28">
        <f>BESS_FOM_Pct*BESS_Capex_Base*AA5*Generation!AA10</f>
        <v>0</v>
      </c>
      <c r="AB7" s="28">
        <f>BESS_FOM_Pct*BESS_Capex_Base*AB5*Generation!AB10</f>
        <v>0</v>
      </c>
      <c r="AC7" s="28">
        <f>BESS_FOM_Pct*BESS_Capex_Base*AC5*Generation!AC10</f>
        <v>0</v>
      </c>
      <c r="AD7" s="28">
        <f>BESS_FOM_Pct*BESS_Capex_Base*AD5*Generation!AD10</f>
        <v>0</v>
      </c>
      <c r="AE7" s="28">
        <f>BESS_FOM_Pct*BESS_Capex_Base*AE5*Generation!AE10</f>
        <v>0</v>
      </c>
      <c r="AF7" s="28">
        <f>BESS_FOM_Pct*BESS_Capex_Base*AF5*Generation!AF10</f>
        <v>0</v>
      </c>
      <c r="AG7" s="28">
        <f>BESS_FOM_Pct*BESS_Capex_Base*AG5*Generation!AG10</f>
        <v>0</v>
      </c>
    </row>
    <row r="8" spans="1:33" x14ac:dyDescent="0.2">
      <c r="A8" t="s">
        <v>270</v>
      </c>
      <c r="B8" s="2" t="s">
        <v>45</v>
      </c>
      <c r="D8" s="28">
        <f>Asset_Mgmt*D5*Generation!D9</f>
        <v>500000</v>
      </c>
      <c r="E8" s="28">
        <f>Asset_Mgmt*E5*Generation!E9</f>
        <v>512499.99999999994</v>
      </c>
      <c r="F8" s="28">
        <f>Asset_Mgmt*F5*Generation!F9</f>
        <v>525312.5</v>
      </c>
      <c r="G8" s="28">
        <f>Asset_Mgmt*G5*Generation!G9</f>
        <v>538445.31249999988</v>
      </c>
      <c r="H8" s="28">
        <f>Asset_Mgmt*H5*Generation!H9</f>
        <v>551906.44531249988</v>
      </c>
      <c r="I8" s="28">
        <f>Asset_Mgmt*I5*Generation!I9</f>
        <v>565704.10644531238</v>
      </c>
      <c r="J8" s="28">
        <f>Asset_Mgmt*J5*Generation!J9</f>
        <v>579846.70910644508</v>
      </c>
      <c r="K8" s="28">
        <f>Asset_Mgmt*K5*Generation!K9</f>
        <v>594342.87683410628</v>
      </c>
      <c r="L8" s="28">
        <f>Asset_Mgmt*L5*Generation!L9</f>
        <v>609201.44875495881</v>
      </c>
      <c r="M8" s="28">
        <f>Asset_Mgmt*M5*Generation!M9</f>
        <v>624431.48497383273</v>
      </c>
      <c r="N8" s="28">
        <f>Asset_Mgmt*N5*Generation!N9</f>
        <v>640042.27209817851</v>
      </c>
      <c r="O8" s="28">
        <f>Asset_Mgmt*O5*Generation!O9</f>
        <v>656043.32890063303</v>
      </c>
      <c r="P8" s="28">
        <f>Asset_Mgmt*P5*Generation!P9</f>
        <v>672444.4121231488</v>
      </c>
      <c r="Q8" s="28">
        <f>Asset_Mgmt*Q5*Generation!Q9</f>
        <v>689255.52242622746</v>
      </c>
      <c r="R8" s="28">
        <f>Asset_Mgmt*R5*Generation!R9</f>
        <v>706486.91048688302</v>
      </c>
      <c r="S8" s="28">
        <f>Asset_Mgmt*S5*Generation!S9</f>
        <v>724149.0832490552</v>
      </c>
      <c r="T8" s="28">
        <f>Asset_Mgmt*T5*Generation!T9</f>
        <v>742252.81033028162</v>
      </c>
      <c r="U8" s="28">
        <f>Asset_Mgmt*U5*Generation!U9</f>
        <v>760809.13058853848</v>
      </c>
      <c r="V8" s="28">
        <f>Asset_Mgmt*V5*Generation!V9</f>
        <v>779829.35885325202</v>
      </c>
      <c r="W8" s="28">
        <f>Asset_Mgmt*W5*Generation!W9</f>
        <v>799325.09282458329</v>
      </c>
      <c r="X8" s="28">
        <f>Asset_Mgmt*X5*Generation!X9</f>
        <v>819308.22014519782</v>
      </c>
      <c r="Y8" s="28">
        <f>Asset_Mgmt*Y5*Generation!Y9</f>
        <v>839790.92564882757</v>
      </c>
      <c r="Z8" s="28">
        <f>Asset_Mgmt*Z5*Generation!Z9</f>
        <v>860785.69879004825</v>
      </c>
      <c r="AA8" s="28">
        <f>Asset_Mgmt*AA5*Generation!AA9</f>
        <v>882305.34125979955</v>
      </c>
      <c r="AB8" s="28">
        <f>Asset_Mgmt*AB5*Generation!AB9</f>
        <v>904362.97479129443</v>
      </c>
      <c r="AC8" s="28">
        <f>Asset_Mgmt*AC5*Generation!AC9</f>
        <v>926972.04916107666</v>
      </c>
      <c r="AD8" s="28">
        <f>Asset_Mgmt*AD5*Generation!AD9</f>
        <v>950146.35039010353</v>
      </c>
      <c r="AE8" s="28">
        <f>Asset_Mgmt*AE5*Generation!AE9</f>
        <v>973900.00914985605</v>
      </c>
      <c r="AF8" s="28">
        <f>Asset_Mgmt*AF5*Generation!AF9</f>
        <v>998247.50937860238</v>
      </c>
      <c r="AG8" s="28">
        <f>Asset_Mgmt*AG5*Generation!AG9</f>
        <v>1023203.6971130676</v>
      </c>
    </row>
    <row r="9" spans="1:33" x14ac:dyDescent="0.2">
      <c r="A9" s="36" t="s">
        <v>271</v>
      </c>
      <c r="B9" s="37" t="s">
        <v>45</v>
      </c>
      <c r="D9" s="38">
        <f t="shared" ref="D9:AG9" si="2">D6+D7+D8</f>
        <v>8240000</v>
      </c>
      <c r="E9" s="38">
        <f t="shared" si="2"/>
        <v>8446000</v>
      </c>
      <c r="F9" s="38">
        <f t="shared" si="2"/>
        <v>8657150</v>
      </c>
      <c r="G9" s="38">
        <f t="shared" si="2"/>
        <v>8873578.7499999981</v>
      </c>
      <c r="H9" s="38">
        <f t="shared" si="2"/>
        <v>9095418.2187499981</v>
      </c>
      <c r="I9" s="38">
        <f t="shared" si="2"/>
        <v>9322803.6742187478</v>
      </c>
      <c r="J9" s="38">
        <f t="shared" si="2"/>
        <v>9555873.766074216</v>
      </c>
      <c r="K9" s="38">
        <f t="shared" si="2"/>
        <v>9794770.6102260705</v>
      </c>
      <c r="L9" s="38">
        <f t="shared" si="2"/>
        <v>10039639.875481721</v>
      </c>
      <c r="M9" s="38">
        <f t="shared" si="2"/>
        <v>10290630.872368764</v>
      </c>
      <c r="N9" s="38">
        <f t="shared" si="2"/>
        <v>10547896.644177983</v>
      </c>
      <c r="O9" s="38">
        <f t="shared" si="2"/>
        <v>10811594.060282433</v>
      </c>
      <c r="P9" s="38">
        <f t="shared" si="2"/>
        <v>11081883.911789494</v>
      </c>
      <c r="Q9" s="38">
        <f t="shared" si="2"/>
        <v>11358931.009584228</v>
      </c>
      <c r="R9" s="38">
        <f t="shared" si="2"/>
        <v>11642904.284823833</v>
      </c>
      <c r="S9" s="38">
        <f t="shared" si="2"/>
        <v>7096661.0158407409</v>
      </c>
      <c r="T9" s="38">
        <f t="shared" si="2"/>
        <v>7274077.5412367601</v>
      </c>
      <c r="U9" s="38">
        <f t="shared" si="2"/>
        <v>7455929.4797676764</v>
      </c>
      <c r="V9" s="38">
        <f t="shared" si="2"/>
        <v>7642327.7167618694</v>
      </c>
      <c r="W9" s="38">
        <f t="shared" si="2"/>
        <v>7833385.909680916</v>
      </c>
      <c r="X9" s="38">
        <f t="shared" si="2"/>
        <v>8029220.5574229378</v>
      </c>
      <c r="Y9" s="38">
        <f t="shared" si="2"/>
        <v>8229951.0713585112</v>
      </c>
      <c r="Z9" s="38">
        <f t="shared" si="2"/>
        <v>8435699.848142473</v>
      </c>
      <c r="AA9" s="38">
        <f t="shared" si="2"/>
        <v>8646592.3443460353</v>
      </c>
      <c r="AB9" s="38">
        <f t="shared" si="2"/>
        <v>8862757.1529546864</v>
      </c>
      <c r="AC9" s="38">
        <f t="shared" si="2"/>
        <v>9084326.0817785524</v>
      </c>
      <c r="AD9" s="38">
        <f t="shared" si="2"/>
        <v>9311434.2338230144</v>
      </c>
      <c r="AE9" s="38">
        <f t="shared" si="2"/>
        <v>9544220.0896685906</v>
      </c>
      <c r="AF9" s="38">
        <f t="shared" si="2"/>
        <v>9782825.5919103045</v>
      </c>
      <c r="AG9" s="38">
        <f t="shared" si="2"/>
        <v>10027396.231708061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7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3" ht="18" x14ac:dyDescent="0.2">
      <c r="A1" s="9" t="s">
        <v>272</v>
      </c>
    </row>
    <row r="2" spans="1:33" x14ac:dyDescent="0.2">
      <c r="A2" s="2" t="s">
        <v>273</v>
      </c>
    </row>
    <row r="4" spans="1:33" x14ac:dyDescent="0.2">
      <c r="A4" s="30" t="s">
        <v>243</v>
      </c>
      <c r="B4" s="30" t="s">
        <v>71</v>
      </c>
      <c r="C4" s="31"/>
      <c r="D4" s="31">
        <v>1</v>
      </c>
      <c r="E4" s="31">
        <f t="shared" ref="E4:AG4" si="0">D4+1</f>
        <v>2</v>
      </c>
      <c r="F4" s="31">
        <f t="shared" si="0"/>
        <v>3</v>
      </c>
      <c r="G4" s="31">
        <f t="shared" si="0"/>
        <v>4</v>
      </c>
      <c r="H4" s="31">
        <f t="shared" si="0"/>
        <v>5</v>
      </c>
      <c r="I4" s="31">
        <f t="shared" si="0"/>
        <v>6</v>
      </c>
      <c r="J4" s="31">
        <f t="shared" si="0"/>
        <v>7</v>
      </c>
      <c r="K4" s="31">
        <f t="shared" si="0"/>
        <v>8</v>
      </c>
      <c r="L4" s="31">
        <f t="shared" si="0"/>
        <v>9</v>
      </c>
      <c r="M4" s="31">
        <f t="shared" si="0"/>
        <v>10</v>
      </c>
      <c r="N4" s="31">
        <f t="shared" si="0"/>
        <v>11</v>
      </c>
      <c r="O4" s="31">
        <f t="shared" si="0"/>
        <v>12</v>
      </c>
      <c r="P4" s="31">
        <f t="shared" si="0"/>
        <v>13</v>
      </c>
      <c r="Q4" s="31">
        <f t="shared" si="0"/>
        <v>14</v>
      </c>
      <c r="R4" s="31">
        <f t="shared" si="0"/>
        <v>15</v>
      </c>
      <c r="S4" s="31">
        <f t="shared" si="0"/>
        <v>16</v>
      </c>
      <c r="T4" s="31">
        <f t="shared" si="0"/>
        <v>17</v>
      </c>
      <c r="U4" s="31">
        <f t="shared" si="0"/>
        <v>18</v>
      </c>
      <c r="V4" s="31">
        <f t="shared" si="0"/>
        <v>19</v>
      </c>
      <c r="W4" s="31">
        <f t="shared" si="0"/>
        <v>20</v>
      </c>
      <c r="X4" s="31">
        <f t="shared" si="0"/>
        <v>21</v>
      </c>
      <c r="Y4" s="31">
        <f t="shared" si="0"/>
        <v>22</v>
      </c>
      <c r="Z4" s="31">
        <f t="shared" si="0"/>
        <v>23</v>
      </c>
      <c r="AA4" s="31">
        <f t="shared" si="0"/>
        <v>24</v>
      </c>
      <c r="AB4" s="30">
        <f t="shared" si="0"/>
        <v>25</v>
      </c>
      <c r="AC4" s="31">
        <f t="shared" si="0"/>
        <v>26</v>
      </c>
      <c r="AD4" s="31">
        <f t="shared" si="0"/>
        <v>27</v>
      </c>
      <c r="AE4" s="31">
        <f t="shared" si="0"/>
        <v>28</v>
      </c>
      <c r="AF4" s="31">
        <f t="shared" si="0"/>
        <v>29</v>
      </c>
      <c r="AG4" s="31">
        <f t="shared" si="0"/>
        <v>30</v>
      </c>
    </row>
    <row r="5" spans="1:33" x14ac:dyDescent="0.2">
      <c r="A5" t="s">
        <v>274</v>
      </c>
      <c r="B5" s="2" t="s">
        <v>45</v>
      </c>
      <c r="D5" s="28">
        <f>IF(Revenue!D5=1,Revenue!D12+Revenue!D15-Opex!D9,MAX(Revenue!D12+Revenue!D15-Opex!D9,0))</f>
        <v>33469634.631999999</v>
      </c>
      <c r="E5" s="28">
        <f>IF(Revenue!E5=1,Revenue!E12+Revenue!E15-Opex!E9,MAX(Revenue!E12+Revenue!E15-Opex!E9,0))</f>
        <v>33072467.189576</v>
      </c>
      <c r="F5" s="28">
        <f>IF(Revenue!F5=1,Revenue!F12+Revenue!F15-Opex!F9,MAX(Revenue!F12+Revenue!F15-Opex!F9,0))</f>
        <v>32671487.919248968</v>
      </c>
      <c r="G5" s="28">
        <f>IF(Revenue!G5=1,Revenue!G12+Revenue!G15-Opex!G9,MAX(Revenue!G12+Revenue!G15-Opex!G9,0))</f>
        <v>32266558.703814223</v>
      </c>
      <c r="H5" s="28">
        <f>IF(Revenue!H5=1,Revenue!H12+Revenue!H15-Opex!H9,MAX(Revenue!H12+Revenue!H15-Opex!H9,0))</f>
        <v>31857538.27288752</v>
      </c>
      <c r="I5" s="28">
        <f>IF(Revenue!I5=1,Revenue!I12+Revenue!I15-Opex!I9,MAX(Revenue!I12+Revenue!I15-Opex!I9,0))</f>
        <v>31444282.121977311</v>
      </c>
      <c r="J5" s="28">
        <f>IF(Revenue!J5=1,Revenue!J12+Revenue!J15-Opex!J9,MAX(Revenue!J12+Revenue!J15-Opex!J9,0))</f>
        <v>31026642.429548465</v>
      </c>
      <c r="K5" s="28">
        <f>IF(Revenue!K5=1,Revenue!K12+Revenue!K15-Opex!K9,MAX(Revenue!K12+Revenue!K15-Opex!K9,0))</f>
        <v>30604467.972027257</v>
      </c>
      <c r="L5" s="28">
        <f>IF(Revenue!L5=1,Revenue!L12+Revenue!L15-Opex!L9,MAX(Revenue!L12+Revenue!L15-Opex!L9,0))</f>
        <v>30177604.036695834</v>
      </c>
      <c r="M5" s="28">
        <f>IF(Revenue!M5=1,Revenue!M12+Revenue!M15-Opex!M9,MAX(Revenue!M12+Revenue!M15-Opex!M9,0))</f>
        <v>29745892.332423542</v>
      </c>
      <c r="N5" s="28">
        <f>IF(Revenue!N5=1,Revenue!N12+Revenue!N15-Opex!N9,MAX(Revenue!N12+Revenue!N15-Opex!N9,0))</f>
        <v>29309170.898180783</v>
      </c>
      <c r="O5" s="28">
        <f>IF(Revenue!O5=1,Revenue!O12+Revenue!O15-Opex!O9,MAX(Revenue!O12+Revenue!O15-Opex!O9,0))</f>
        <v>28867274.009279825</v>
      </c>
      <c r="P5" s="28">
        <f>IF(Revenue!P5=1,Revenue!P12+Revenue!P15-Opex!P9,MAX(Revenue!P12+Revenue!P15-Opex!P9,0))</f>
        <v>28420032.081285819</v>
      </c>
      <c r="Q5" s="28">
        <f>IF(Revenue!Q5=1,Revenue!Q12+Revenue!Q15-Opex!Q9,MAX(Revenue!Q12+Revenue!Q15-Opex!Q9,0))</f>
        <v>27967271.571539558</v>
      </c>
      <c r="R5" s="28">
        <f>IF(Revenue!R5=1,Revenue!R12+Revenue!R15-Opex!R9,MAX(Revenue!R12+Revenue!R15-Opex!R9,0))</f>
        <v>27508814.878232084</v>
      </c>
      <c r="S5" s="28">
        <f>IF(Revenue!S5=1,Revenue!S12+Revenue!S15-Opex!S9,MAX(Revenue!S12+Revenue!S15-Opex!S9,0))</f>
        <v>17481796.113073789</v>
      </c>
      <c r="T5" s="28">
        <f>IF(Revenue!T5=1,Revenue!T12+Revenue!T15-Opex!T9,MAX(Revenue!T12+Revenue!T15-Opex!T9,0))</f>
        <v>17132330.387775362</v>
      </c>
      <c r="U5" s="28">
        <f>IF(Revenue!U5=1,Revenue!U12+Revenue!U15-Opex!U9,MAX(Revenue!U12+Revenue!U15-Opex!U9,0))</f>
        <v>16779633.593741361</v>
      </c>
      <c r="V5" s="28">
        <f>IF(Revenue!V5=1,Revenue!V12+Revenue!V15-Opex!V9,MAX(Revenue!V12+Revenue!V15-Opex!V9,0))</f>
        <v>16423586.415232606</v>
      </c>
      <c r="W5" s="28">
        <f>IF(Revenue!W5=1,Revenue!W12+Revenue!W15-Opex!W9,MAX(Revenue!W12+Revenue!W15-Opex!W9,0))</f>
        <v>16064066.823389595</v>
      </c>
      <c r="X5" s="28">
        <f>IF(Revenue!X5=1,Revenue!X12+Revenue!X15-Opex!X9,MAX(Revenue!X12+Revenue!X15-Opex!X9,0))</f>
        <v>8564560.6922746524</v>
      </c>
      <c r="Y5" s="28">
        <f>IF(Revenue!Y5=1,Revenue!Y12+Revenue!Y15-Opex!Y9,MAX(Revenue!Y12+Revenue!Y15-Opex!Y9,0))</f>
        <v>8577226.2052101884</v>
      </c>
      <c r="Z5" s="28">
        <f>IF(Revenue!Z5=1,Revenue!Z12+Revenue!Z15-Opex!Z9,MAX(Revenue!Z12+Revenue!Z15-Opex!Z9,0))</f>
        <v>8587617.7282028999</v>
      </c>
      <c r="AA5" s="28">
        <f>IF(Revenue!AA5=1,Revenue!AA12+Revenue!AA15-Opex!AA9,MAX(Revenue!AA12+Revenue!AA15-Opex!AA9,0))</f>
        <v>8595645.0960311368</v>
      </c>
      <c r="AB5" s="28">
        <f>IF(Revenue!AB5=1,Revenue!AB12+Revenue!AB15-Opex!AB9,MAX(Revenue!AB12+Revenue!AB15-Opex!AB9,0))</f>
        <v>8601215.4609057344</v>
      </c>
      <c r="AC5" s="28">
        <f>IF(Revenue!AC5=1,Revenue!AC12+Revenue!AC15-Opex!AC9,MAX(Revenue!AC12+Revenue!AC15-Opex!AC9,0))</f>
        <v>8604233.2198961116</v>
      </c>
      <c r="AD5" s="28">
        <f>IF(Revenue!AD5=1,Revenue!AD12+Revenue!AD15-Opex!AD9,MAX(Revenue!AD12+Revenue!AD15-Opex!AD9,0))</f>
        <v>8604599.9404711891</v>
      </c>
      <c r="AE5" s="28">
        <f>IF(Revenue!AE5=1,Revenue!AE12+Revenue!AE15-Opex!AE9,MAX(Revenue!AE12+Revenue!AE15-Opex!AE9,0))</f>
        <v>8602214.2841070332</v>
      </c>
      <c r="AF5" s="28">
        <f>IF(Revenue!AF5=1,Revenue!AF12+Revenue!AF15-Opex!AF9,MAX(Revenue!AF12+Revenue!AF15-Opex!AF9,0))</f>
        <v>8596971.9279120769</v>
      </c>
      <c r="AG5" s="28">
        <f>IF(Revenue!AG5=1,Revenue!AG12+Revenue!AG15-Opex!AG9,MAX(Revenue!AG12+Revenue!AG15-Opex!AG9,0))</f>
        <v>8588765.4842192344</v>
      </c>
    </row>
    <row r="6" spans="1:33" x14ac:dyDescent="0.2">
      <c r="A6" t="s">
        <v>275</v>
      </c>
      <c r="B6" s="2" t="s">
        <v>45</v>
      </c>
      <c r="D6" s="28">
        <f>IF(Revenue!D5=1,Revenue!D13+Revenue!D15-Opex!D9,MAX(Revenue!D13+Revenue!D15-Opex!D9,0))</f>
        <v>31369632.967337728</v>
      </c>
      <c r="E6" s="28">
        <f>IF(Revenue!E5=1,Revenue!E13+Revenue!E15-Opex!E9,MAX(Revenue!E13+Revenue!E15-Opex!E9,0))</f>
        <v>30987165.536566362</v>
      </c>
      <c r="F6" s="28">
        <f>IF(Revenue!F5=1,Revenue!F13+Revenue!F15-Opex!F9,MAX(Revenue!F13+Revenue!F15-Opex!F9,0))</f>
        <v>30600783.377810396</v>
      </c>
      <c r="G6" s="28">
        <f>IF(Revenue!G5=1,Revenue!G13+Revenue!G15-Opex!G9,MAX(Revenue!G13+Revenue!G15-Opex!G9,0))</f>
        <v>30210349.094165727</v>
      </c>
      <c r="H6" s="28">
        <f>IF(Revenue!H5=1,Revenue!H13+Revenue!H15-Opex!H9,MAX(Revenue!H13+Revenue!H15-Opex!H9,0))</f>
        <v>29815722.13050656</v>
      </c>
      <c r="I6" s="28">
        <f>IF(Revenue!I5=1,Revenue!I13+Revenue!I15-Opex!I9,MAX(Revenue!I13+Revenue!I15-Opex!I9,0))</f>
        <v>29416758.692593019</v>
      </c>
      <c r="J6" s="28">
        <f>IF(Revenue!J5=1,Revenue!J13+Revenue!J15-Opex!J9,MAX(Revenue!J13+Revenue!J15-Opex!J9,0))</f>
        <v>29013311.66416987</v>
      </c>
      <c r="K6" s="28">
        <f>IF(Revenue!K5=1,Revenue!K13+Revenue!K15-Opex!K9,MAX(Revenue!K13+Revenue!K15-Opex!K9,0))</f>
        <v>28605230.522006303</v>
      </c>
      <c r="L6" s="28">
        <f>IF(Revenue!L5=1,Revenue!L13+Revenue!L15-Opex!L9,MAX(Revenue!L13+Revenue!L15-Opex!L9,0))</f>
        <v>28192361.248825032</v>
      </c>
      <c r="M6" s="28">
        <f>IF(Revenue!M5=1,Revenue!M13+Revenue!M15-Opex!M9,MAX(Revenue!M13+Revenue!M15-Opex!M9,0))</f>
        <v>27774546.244067837</v>
      </c>
      <c r="N6" s="28">
        <f>IF(Revenue!N5=1,Revenue!N13+Revenue!N15-Opex!N9,MAX(Revenue!N13+Revenue!N15-Opex!N9,0))</f>
        <v>27351624.232443564</v>
      </c>
      <c r="O6" s="28">
        <f>IF(Revenue!O5=1,Revenue!O13+Revenue!O15-Opex!O9,MAX(Revenue!O13+Revenue!O15-Opex!O9,0))</f>
        <v>26923430.170202762</v>
      </c>
      <c r="P6" s="28">
        <f>IF(Revenue!P5=1,Revenue!P13+Revenue!P15-Opex!P9,MAX(Revenue!P13+Revenue!P15-Opex!P9,0))</f>
        <v>26489795.149082303</v>
      </c>
      <c r="Q6" s="28">
        <f>IF(Revenue!Q5=1,Revenue!Q13+Revenue!Q15-Opex!Q9,MAX(Revenue!Q13+Revenue!Q15-Opex!Q9,0))</f>
        <v>26050546.297861464</v>
      </c>
      <c r="R6" s="28">
        <f>IF(Revenue!R5=1,Revenue!R13+Revenue!R15-Opex!R9,MAX(Revenue!R13+Revenue!R15-Opex!R9,0))</f>
        <v>25605506.681469738</v>
      </c>
      <c r="S6" s="28">
        <f>IF(Revenue!S5=1,Revenue!S13+Revenue!S15-Opex!S9,MAX(Revenue!S13+Revenue!S15-Opex!S9,0))</f>
        <v>15591811.073688777</v>
      </c>
      <c r="T6" s="28">
        <f>IF(Revenue!T5=1,Revenue!T13+Revenue!T15-Opex!T9,MAX(Revenue!T13+Revenue!T15-Opex!T9,0))</f>
        <v>15255575.243666047</v>
      </c>
      <c r="U6" s="28">
        <f>IF(Revenue!U5=1,Revenue!U13+Revenue!U15-Opex!U9,MAX(Revenue!U13+Revenue!U15-Opex!U9,0))</f>
        <v>14916015.735640809</v>
      </c>
      <c r="V6" s="28">
        <f>IF(Revenue!V5=1,Revenue!V13+Revenue!V15-Opex!V9,MAX(Revenue!V13+Revenue!V15-Opex!V9,0))</f>
        <v>14573013.882138759</v>
      </c>
      <c r="W6" s="28">
        <f>IF(Revenue!W5=1,Revenue!W13+Revenue!W15-Opex!W9,MAX(Revenue!W13+Revenue!W15-Opex!W9,0))</f>
        <v>14226448.298027406</v>
      </c>
      <c r="X6" s="28">
        <f>IF(Revenue!X5=1,Revenue!X13+Revenue!X15-Opex!X9,MAX(Revenue!X13+Revenue!X15-Opex!X9,0))</f>
        <v>7288565.2892979067</v>
      </c>
      <c r="Y6" s="28">
        <f>IF(Revenue!Y5=1,Revenue!Y13+Revenue!Y15-Opex!Y9,MAX(Revenue!Y13+Revenue!Y15-Opex!Y9,0))</f>
        <v>7284821.5013511628</v>
      </c>
      <c r="Z6" s="28">
        <f>IF(Revenue!Z5=1,Revenue!Z13+Revenue!Z15-Opex!Z9,MAX(Revenue!Z13+Revenue!Z15-Opex!Z9,0))</f>
        <v>7278592.6998522468</v>
      </c>
      <c r="AA6" s="28">
        <f>IF(Revenue!AA5=1,Revenue!AA13+Revenue!AA15-Opex!AA9,MAX(Revenue!AA13+Revenue!AA15-Opex!AA9,0))</f>
        <v>7269786.0058158953</v>
      </c>
      <c r="AB6" s="28">
        <f>IF(Revenue!AB5=1,Revenue!AB13+Revenue!AB15-Opex!AB9,MAX(Revenue!AB13+Revenue!AB15-Opex!AB9,0))</f>
        <v>7258305.8227903266</v>
      </c>
      <c r="AC6" s="28">
        <f>IF(Revenue!AC5=1,Revenue!AC13+Revenue!AC15-Opex!AC9,MAX(Revenue!AC13+Revenue!AC15-Opex!AC9,0))</f>
        <v>7244053.7638345361</v>
      </c>
      <c r="AD6" s="28">
        <f>IF(Revenue!AD5=1,Revenue!AD13+Revenue!AD15-Opex!AD9,MAX(Revenue!AD13+Revenue!AD15-Opex!AD9,0))</f>
        <v>7226928.5766046625</v>
      </c>
      <c r="AE6" s="28">
        <f>IF(Revenue!AE5=1,Revenue!AE13+Revenue!AE15-Opex!AE9,MAX(Revenue!AE13+Revenue!AE15-Opex!AE9,0))</f>
        <v>7206826.0665011834</v>
      </c>
      <c r="AF6" s="28">
        <f>IF(Revenue!AF5=1,Revenue!AF13+Revenue!AF15-Opex!AF9,MAX(Revenue!AF13+Revenue!AF15-Opex!AF9,0))</f>
        <v>7183639.0178278144</v>
      </c>
      <c r="AG6" s="28">
        <f>IF(Revenue!AG5=1,Revenue!AG13+Revenue!AG15-Opex!AG9,MAX(Revenue!AG13+Revenue!AG15-Opex!AG9,0))</f>
        <v>7157257.1129112914</v>
      </c>
    </row>
    <row r="7" spans="1:33" x14ac:dyDescent="0.2">
      <c r="A7" s="36" t="s">
        <v>276</v>
      </c>
      <c r="B7" s="37" t="s">
        <v>45</v>
      </c>
      <c r="D7" s="39">
        <f>IF(Revenue!D5=1,Revenue!D14+Revenue!D15-Opex!D9,MAX(Revenue!D14+Revenue!D15-Opex!D9,0))</f>
        <v>33469634.631999999</v>
      </c>
      <c r="E7" s="39">
        <f>IF(Revenue!E5=1,Revenue!E14+Revenue!E15-Opex!E9,MAX(Revenue!E14+Revenue!E15-Opex!E9,0))</f>
        <v>33072467.189576</v>
      </c>
      <c r="F7" s="39">
        <f>IF(Revenue!F5=1,Revenue!F14+Revenue!F15-Opex!F9,MAX(Revenue!F14+Revenue!F15-Opex!F9,0))</f>
        <v>32671487.919248968</v>
      </c>
      <c r="G7" s="39">
        <f>IF(Revenue!G5=1,Revenue!G14+Revenue!G15-Opex!G9,MAX(Revenue!G14+Revenue!G15-Opex!G9,0))</f>
        <v>32266558.703814223</v>
      </c>
      <c r="H7" s="39">
        <f>IF(Revenue!H5=1,Revenue!H14+Revenue!H15-Opex!H9,MAX(Revenue!H14+Revenue!H15-Opex!H9,0))</f>
        <v>31857538.27288752</v>
      </c>
      <c r="I7" s="39">
        <f>IF(Revenue!I5=1,Revenue!I14+Revenue!I15-Opex!I9,MAX(Revenue!I14+Revenue!I15-Opex!I9,0))</f>
        <v>31444282.121977311</v>
      </c>
      <c r="J7" s="39">
        <f>IF(Revenue!J5=1,Revenue!J14+Revenue!J15-Opex!J9,MAX(Revenue!J14+Revenue!J15-Opex!J9,0))</f>
        <v>31026642.429548465</v>
      </c>
      <c r="K7" s="39">
        <f>IF(Revenue!K5=1,Revenue!K14+Revenue!K15-Opex!K9,MAX(Revenue!K14+Revenue!K15-Opex!K9,0))</f>
        <v>30604467.972027257</v>
      </c>
      <c r="L7" s="39">
        <f>IF(Revenue!L5=1,Revenue!L14+Revenue!L15-Opex!L9,MAX(Revenue!L14+Revenue!L15-Opex!L9,0))</f>
        <v>30177604.036695834</v>
      </c>
      <c r="M7" s="39">
        <f>IF(Revenue!M5=1,Revenue!M14+Revenue!M15-Opex!M9,MAX(Revenue!M14+Revenue!M15-Opex!M9,0))</f>
        <v>29745892.332423542</v>
      </c>
      <c r="N7" s="39">
        <f>IF(Revenue!N5=1,Revenue!N14+Revenue!N15-Opex!N9,MAX(Revenue!N14+Revenue!N15-Opex!N9,0))</f>
        <v>29309170.898180783</v>
      </c>
      <c r="O7" s="39">
        <f>IF(Revenue!O5=1,Revenue!O14+Revenue!O15-Opex!O9,MAX(Revenue!O14+Revenue!O15-Opex!O9,0))</f>
        <v>28867274.009279825</v>
      </c>
      <c r="P7" s="39">
        <f>IF(Revenue!P5=1,Revenue!P14+Revenue!P15-Opex!P9,MAX(Revenue!P14+Revenue!P15-Opex!P9,0))</f>
        <v>28420032.081285819</v>
      </c>
      <c r="Q7" s="39">
        <f>IF(Revenue!Q5=1,Revenue!Q14+Revenue!Q15-Opex!Q9,MAX(Revenue!Q14+Revenue!Q15-Opex!Q9,0))</f>
        <v>27967271.571539558</v>
      </c>
      <c r="R7" s="39">
        <f>IF(Revenue!R5=1,Revenue!R14+Revenue!R15-Opex!R9,MAX(Revenue!R14+Revenue!R15-Opex!R9,0))</f>
        <v>27508814.878232084</v>
      </c>
      <c r="S7" s="39">
        <f>IF(Revenue!S5=1,Revenue!S14+Revenue!S15-Opex!S9,MAX(Revenue!S14+Revenue!S15-Opex!S9,0))</f>
        <v>17481796.113073789</v>
      </c>
      <c r="T7" s="39">
        <f>IF(Revenue!T5=1,Revenue!T14+Revenue!T15-Opex!T9,MAX(Revenue!T14+Revenue!T15-Opex!T9,0))</f>
        <v>17132330.387775362</v>
      </c>
      <c r="U7" s="39">
        <f>IF(Revenue!U5=1,Revenue!U14+Revenue!U15-Opex!U9,MAX(Revenue!U14+Revenue!U15-Opex!U9,0))</f>
        <v>16779633.593741361</v>
      </c>
      <c r="V7" s="39">
        <f>IF(Revenue!V5=1,Revenue!V14+Revenue!V15-Opex!V9,MAX(Revenue!V14+Revenue!V15-Opex!V9,0))</f>
        <v>16423586.415232606</v>
      </c>
      <c r="W7" s="39">
        <f>IF(Revenue!W5=1,Revenue!W14+Revenue!W15-Opex!W9,MAX(Revenue!W14+Revenue!W15-Opex!W9,0))</f>
        <v>16064066.823389595</v>
      </c>
      <c r="X7" s="39">
        <f>IF(Revenue!X5=1,Revenue!X14+Revenue!X15-Opex!X9,MAX(Revenue!X14+Revenue!X15-Opex!X9,0))</f>
        <v>8564560.6922746524</v>
      </c>
      <c r="Y7" s="39">
        <f>IF(Revenue!Y5=1,Revenue!Y14+Revenue!Y15-Opex!Y9,MAX(Revenue!Y14+Revenue!Y15-Opex!Y9,0))</f>
        <v>8577226.2052101884</v>
      </c>
      <c r="Z7" s="39">
        <f>IF(Revenue!Z5=1,Revenue!Z14+Revenue!Z15-Opex!Z9,MAX(Revenue!Z14+Revenue!Z15-Opex!Z9,0))</f>
        <v>8587617.7282028999</v>
      </c>
      <c r="AA7" s="39">
        <f>IF(Revenue!AA5=1,Revenue!AA14+Revenue!AA15-Opex!AA9,MAX(Revenue!AA14+Revenue!AA15-Opex!AA9,0))</f>
        <v>8595645.0960311368</v>
      </c>
      <c r="AB7" s="39">
        <f>IF(Revenue!AB5=1,Revenue!AB14+Revenue!AB15-Opex!AB9,MAX(Revenue!AB14+Revenue!AB15-Opex!AB9,0))</f>
        <v>8601215.4609057344</v>
      </c>
      <c r="AC7" s="39">
        <f>IF(Revenue!AC5=1,Revenue!AC14+Revenue!AC15-Opex!AC9,MAX(Revenue!AC14+Revenue!AC15-Opex!AC9,0))</f>
        <v>8604233.2198961116</v>
      </c>
      <c r="AD7" s="39">
        <f>IF(Revenue!AD5=1,Revenue!AD14+Revenue!AD15-Opex!AD9,MAX(Revenue!AD14+Revenue!AD15-Opex!AD9,0))</f>
        <v>8604599.9404711891</v>
      </c>
      <c r="AE7" s="39">
        <f>IF(Revenue!AE5=1,Revenue!AE14+Revenue!AE15-Opex!AE9,MAX(Revenue!AE14+Revenue!AE15-Opex!AE9,0))</f>
        <v>8602214.2841070332</v>
      </c>
      <c r="AF7" s="39">
        <f>IF(Revenue!AF5=1,Revenue!AF14+Revenue!AF15-Opex!AF9,MAX(Revenue!AF14+Revenue!AF15-Opex!AF9,0))</f>
        <v>8596971.9279120769</v>
      </c>
      <c r="AG7" s="39">
        <f>IF(Revenue!AG5=1,Revenue!AG14+Revenue!AG15-Opex!AG9,MAX(Revenue!AG14+Revenue!AG15-Opex!AG9,0))</f>
        <v>8588765.4842192344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8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3" ht="18" x14ac:dyDescent="0.2">
      <c r="A1" s="9" t="s">
        <v>277</v>
      </c>
    </row>
    <row r="2" spans="1:33" x14ac:dyDescent="0.2">
      <c r="A2" s="2" t="s">
        <v>278</v>
      </c>
    </row>
    <row r="4" spans="1:33" x14ac:dyDescent="0.2">
      <c r="A4" s="30" t="s">
        <v>243</v>
      </c>
      <c r="B4" s="30" t="s">
        <v>71</v>
      </c>
      <c r="C4" s="31"/>
      <c r="D4" s="31">
        <v>1</v>
      </c>
      <c r="E4" s="31">
        <f t="shared" ref="E4:AG4" si="0">D4+1</f>
        <v>2</v>
      </c>
      <c r="F4" s="31">
        <f t="shared" si="0"/>
        <v>3</v>
      </c>
      <c r="G4" s="31">
        <f t="shared" si="0"/>
        <v>4</v>
      </c>
      <c r="H4" s="31">
        <f t="shared" si="0"/>
        <v>5</v>
      </c>
      <c r="I4" s="31">
        <f t="shared" si="0"/>
        <v>6</v>
      </c>
      <c r="J4" s="31">
        <f t="shared" si="0"/>
        <v>7</v>
      </c>
      <c r="K4" s="31">
        <f t="shared" si="0"/>
        <v>8</v>
      </c>
      <c r="L4" s="31">
        <f t="shared" si="0"/>
        <v>9</v>
      </c>
      <c r="M4" s="31">
        <f t="shared" si="0"/>
        <v>10</v>
      </c>
      <c r="N4" s="31">
        <f t="shared" si="0"/>
        <v>11</v>
      </c>
      <c r="O4" s="31">
        <f t="shared" si="0"/>
        <v>12</v>
      </c>
      <c r="P4" s="31">
        <f t="shared" si="0"/>
        <v>13</v>
      </c>
      <c r="Q4" s="31">
        <f t="shared" si="0"/>
        <v>14</v>
      </c>
      <c r="R4" s="31">
        <f t="shared" si="0"/>
        <v>15</v>
      </c>
      <c r="S4" s="31">
        <f t="shared" si="0"/>
        <v>16</v>
      </c>
      <c r="T4" s="31">
        <f t="shared" si="0"/>
        <v>17</v>
      </c>
      <c r="U4" s="31">
        <f t="shared" si="0"/>
        <v>18</v>
      </c>
      <c r="V4" s="31">
        <f t="shared" si="0"/>
        <v>19</v>
      </c>
      <c r="W4" s="31">
        <f t="shared" si="0"/>
        <v>20</v>
      </c>
      <c r="X4" s="31">
        <f t="shared" si="0"/>
        <v>21</v>
      </c>
      <c r="Y4" s="31">
        <f t="shared" si="0"/>
        <v>22</v>
      </c>
      <c r="Z4" s="31">
        <f t="shared" si="0"/>
        <v>23</v>
      </c>
      <c r="AA4" s="31">
        <f t="shared" si="0"/>
        <v>24</v>
      </c>
      <c r="AB4" s="30">
        <f t="shared" si="0"/>
        <v>25</v>
      </c>
      <c r="AC4" s="31">
        <f t="shared" si="0"/>
        <v>26</v>
      </c>
      <c r="AD4" s="31">
        <f t="shared" si="0"/>
        <v>27</v>
      </c>
      <c r="AE4" s="31">
        <f t="shared" si="0"/>
        <v>28</v>
      </c>
      <c r="AF4" s="31">
        <f t="shared" si="0"/>
        <v>29</v>
      </c>
      <c r="AG4" s="31">
        <f t="shared" si="0"/>
        <v>30</v>
      </c>
    </row>
    <row r="5" spans="1:33" x14ac:dyDescent="0.2">
      <c r="A5" s="11" t="s">
        <v>279</v>
      </c>
      <c r="B5" s="2" t="s">
        <v>48</v>
      </c>
      <c r="C5" s="20">
        <f>UST_10Y+Debt_Spread+Rate_Shock</f>
        <v>6.9599999999999995E-2</v>
      </c>
    </row>
    <row r="6" spans="1:33" x14ac:dyDescent="0.2">
      <c r="A6" s="11" t="s">
        <v>280</v>
      </c>
      <c r="B6" s="2" t="s">
        <v>45</v>
      </c>
      <c r="C6" s="28">
        <f>NPV(Rate,D13:AG13)</f>
        <v>222404055.33628488</v>
      </c>
    </row>
    <row r="7" spans="1:33" x14ac:dyDescent="0.2">
      <c r="A7" s="11" t="s">
        <v>281</v>
      </c>
      <c r="B7" s="2" t="s">
        <v>45</v>
      </c>
      <c r="C7" s="28">
        <f>Max_Gearing*Project_Capex</f>
        <v>298188800</v>
      </c>
    </row>
    <row r="8" spans="1:33" x14ac:dyDescent="0.2">
      <c r="A8" s="3" t="s">
        <v>46</v>
      </c>
      <c r="B8" s="2" t="s">
        <v>45</v>
      </c>
      <c r="C8" s="29">
        <f>MIN(Debt_Capacity_Sculpt,Debt_Capacity_Gearing)</f>
        <v>222404055.33628488</v>
      </c>
    </row>
    <row r="9" spans="1:33" x14ac:dyDescent="0.2">
      <c r="A9" s="11" t="s">
        <v>282</v>
      </c>
      <c r="B9" s="2" t="s">
        <v>84</v>
      </c>
      <c r="C9" s="32">
        <f>Debt/Debt_Capacity_Sculpt</f>
        <v>1</v>
      </c>
    </row>
    <row r="10" spans="1:33" x14ac:dyDescent="0.2">
      <c r="A10" s="11" t="s">
        <v>283</v>
      </c>
      <c r="B10" s="2" t="s">
        <v>48</v>
      </c>
      <c r="C10" s="40">
        <f>Debt/Project_Capex</f>
        <v>0.52209485646476128</v>
      </c>
    </row>
    <row r="12" spans="1:33" x14ac:dyDescent="0.2">
      <c r="A12" t="s">
        <v>284</v>
      </c>
      <c r="B12" s="2" t="s">
        <v>248</v>
      </c>
      <c r="D12" s="33">
        <f t="shared" ref="D12:AG12" si="1">IF(D4&lt;=Tenor,1,0)</f>
        <v>1</v>
      </c>
      <c r="E12" s="33">
        <f t="shared" si="1"/>
        <v>1</v>
      </c>
      <c r="F12" s="33">
        <f t="shared" si="1"/>
        <v>1</v>
      </c>
      <c r="G12" s="33">
        <f t="shared" si="1"/>
        <v>1</v>
      </c>
      <c r="H12" s="33">
        <f t="shared" si="1"/>
        <v>1</v>
      </c>
      <c r="I12" s="33">
        <f t="shared" si="1"/>
        <v>1</v>
      </c>
      <c r="J12" s="33">
        <f t="shared" si="1"/>
        <v>1</v>
      </c>
      <c r="K12" s="33">
        <f t="shared" si="1"/>
        <v>1</v>
      </c>
      <c r="L12" s="33">
        <f t="shared" si="1"/>
        <v>1</v>
      </c>
      <c r="M12" s="33">
        <f t="shared" si="1"/>
        <v>1</v>
      </c>
      <c r="N12" s="33">
        <f t="shared" si="1"/>
        <v>1</v>
      </c>
      <c r="O12" s="33">
        <f t="shared" si="1"/>
        <v>1</v>
      </c>
      <c r="P12" s="33">
        <f t="shared" si="1"/>
        <v>1</v>
      </c>
      <c r="Q12" s="33">
        <f t="shared" si="1"/>
        <v>1</v>
      </c>
      <c r="R12" s="33">
        <f t="shared" si="1"/>
        <v>1</v>
      </c>
      <c r="S12" s="33">
        <f t="shared" si="1"/>
        <v>1</v>
      </c>
      <c r="T12" s="33">
        <f t="shared" si="1"/>
        <v>1</v>
      </c>
      <c r="U12" s="33">
        <f t="shared" si="1"/>
        <v>1</v>
      </c>
      <c r="V12" s="33">
        <f t="shared" si="1"/>
        <v>0</v>
      </c>
      <c r="W12" s="33">
        <f t="shared" si="1"/>
        <v>0</v>
      </c>
      <c r="X12" s="33">
        <f t="shared" si="1"/>
        <v>0</v>
      </c>
      <c r="Y12" s="33">
        <f t="shared" si="1"/>
        <v>0</v>
      </c>
      <c r="Z12" s="33">
        <f t="shared" si="1"/>
        <v>0</v>
      </c>
      <c r="AA12" s="33">
        <f t="shared" si="1"/>
        <v>0</v>
      </c>
      <c r="AB12" s="33">
        <f t="shared" si="1"/>
        <v>0</v>
      </c>
      <c r="AC12" s="33">
        <f t="shared" si="1"/>
        <v>0</v>
      </c>
      <c r="AD12" s="33">
        <f t="shared" si="1"/>
        <v>0</v>
      </c>
      <c r="AE12" s="33">
        <f t="shared" si="1"/>
        <v>0</v>
      </c>
      <c r="AF12" s="33">
        <f t="shared" si="1"/>
        <v>0</v>
      </c>
      <c r="AG12" s="33">
        <f t="shared" si="1"/>
        <v>0</v>
      </c>
    </row>
    <row r="13" spans="1:33" x14ac:dyDescent="0.2">
      <c r="A13" t="s">
        <v>285</v>
      </c>
      <c r="B13" s="2" t="s">
        <v>45</v>
      </c>
      <c r="D13" s="28">
        <f>MIN(CFADS!D5/DSCR_P50_Target,CFADS!D6/DSCR_P90_Target)*D12</f>
        <v>24792321.949629627</v>
      </c>
      <c r="E13" s="28">
        <f>MIN(CFADS!E5/DSCR_P50_Target,CFADS!E6/DSCR_P90_Target)*E12</f>
        <v>24498123.844130367</v>
      </c>
      <c r="F13" s="28">
        <f>MIN(CFADS!F5/DSCR_P50_Target,CFADS!F6/DSCR_P90_Target)*F12</f>
        <v>24201102.162406642</v>
      </c>
      <c r="G13" s="28">
        <f>MIN(CFADS!G5/DSCR_P50_Target,CFADS!G6/DSCR_P90_Target)*G12</f>
        <v>23901154.595417943</v>
      </c>
      <c r="H13" s="28">
        <f>MIN(CFADS!H5/DSCR_P50_Target,CFADS!H6/DSCR_P90_Target)*H12</f>
        <v>23598176.498435199</v>
      </c>
      <c r="I13" s="28">
        <f>MIN(CFADS!I5/DSCR_P50_Target,CFADS!I6/DSCR_P90_Target)*I12</f>
        <v>23292060.831094302</v>
      </c>
      <c r="J13" s="28">
        <f>MIN(CFADS!J5/DSCR_P50_Target,CFADS!J6/DSCR_P90_Target)*J12</f>
        <v>22982698.095961824</v>
      </c>
      <c r="K13" s="28">
        <f>MIN(CFADS!K5/DSCR_P50_Target,CFADS!K6/DSCR_P90_Target)*K12</f>
        <v>22669976.275575746</v>
      </c>
      <c r="L13" s="28">
        <f>MIN(CFADS!L5/DSCR_P50_Target,CFADS!L6/DSCR_P90_Target)*L12</f>
        <v>22353780.767922837</v>
      </c>
      <c r="M13" s="28">
        <f>MIN(CFADS!M5/DSCR_P50_Target,CFADS!M6/DSCR_P90_Target)*M12</f>
        <v>22033994.320313733</v>
      </c>
      <c r="N13" s="28">
        <f>MIN(CFADS!N5/DSCR_P50_Target,CFADS!N6/DSCR_P90_Target)*N12</f>
        <v>21710496.961615395</v>
      </c>
      <c r="O13" s="28">
        <f>MIN(CFADS!O5/DSCR_P50_Target,CFADS!O6/DSCR_P90_Target)*O12</f>
        <v>21383165.932799868</v>
      </c>
      <c r="P13" s="28">
        <f>MIN(CFADS!P5/DSCR_P50_Target,CFADS!P6/DSCR_P90_Target)*P12</f>
        <v>21051875.615767274</v>
      </c>
      <c r="Q13" s="28">
        <f>MIN(CFADS!Q5/DSCR_P50_Target,CFADS!Q6/DSCR_P90_Target)*Q12</f>
        <v>20716497.460399672</v>
      </c>
      <c r="R13" s="28">
        <f>MIN(CFADS!R5/DSCR_P50_Target,CFADS!R6/DSCR_P90_Target)*R12</f>
        <v>20376899.909801543</v>
      </c>
      <c r="S13" s="28">
        <f>MIN(CFADS!S5/DSCR_P50_Target,CFADS!S6/DSCR_P90_Target)*S12</f>
        <v>12949478.60227688</v>
      </c>
      <c r="T13" s="28">
        <f>MIN(CFADS!T5/DSCR_P50_Target,CFADS!T6/DSCR_P90_Target)*T12</f>
        <v>12690615.102055823</v>
      </c>
      <c r="U13" s="28">
        <f>MIN(CFADS!U5/DSCR_P50_Target,CFADS!U6/DSCR_P90_Target)*U12</f>
        <v>12429358.217586193</v>
      </c>
      <c r="V13" s="28">
        <f>MIN(CFADS!V5/DSCR_P50_Target,CFADS!V6/DSCR_P90_Target)*V12</f>
        <v>0</v>
      </c>
      <c r="W13" s="28">
        <f>MIN(CFADS!W5/DSCR_P50_Target,CFADS!W6/DSCR_P90_Target)*W12</f>
        <v>0</v>
      </c>
      <c r="X13" s="28">
        <f>MIN(CFADS!X5/DSCR_P50_Target,CFADS!X6/DSCR_P90_Target)*X12</f>
        <v>0</v>
      </c>
      <c r="Y13" s="28">
        <f>MIN(CFADS!Y5/DSCR_P50_Target,CFADS!Y6/DSCR_P90_Target)*Y12</f>
        <v>0</v>
      </c>
      <c r="Z13" s="28">
        <f>MIN(CFADS!Z5/DSCR_P50_Target,CFADS!Z6/DSCR_P90_Target)*Z12</f>
        <v>0</v>
      </c>
      <c r="AA13" s="28">
        <f>MIN(CFADS!AA5/DSCR_P50_Target,CFADS!AA6/DSCR_P90_Target)*AA12</f>
        <v>0</v>
      </c>
      <c r="AB13" s="28">
        <f>MIN(CFADS!AB5/DSCR_P50_Target,CFADS!AB6/DSCR_P90_Target)*AB12</f>
        <v>0</v>
      </c>
      <c r="AC13" s="28">
        <f>MIN(CFADS!AC5/DSCR_P50_Target,CFADS!AC6/DSCR_P90_Target)*AC12</f>
        <v>0</v>
      </c>
      <c r="AD13" s="28">
        <f>MIN(CFADS!AD5/DSCR_P50_Target,CFADS!AD6/DSCR_P90_Target)*AD12</f>
        <v>0</v>
      </c>
      <c r="AE13" s="28">
        <f>MIN(CFADS!AE5/DSCR_P50_Target,CFADS!AE6/DSCR_P90_Target)*AE12</f>
        <v>0</v>
      </c>
      <c r="AF13" s="28">
        <f>MIN(CFADS!AF5/DSCR_P50_Target,CFADS!AF6/DSCR_P90_Target)*AF12</f>
        <v>0</v>
      </c>
      <c r="AG13" s="28">
        <f>MIN(CFADS!AG5/DSCR_P50_Target,CFADS!AG6/DSCR_P90_Target)*AG12</f>
        <v>0</v>
      </c>
    </row>
    <row r="14" spans="1:33" x14ac:dyDescent="0.2">
      <c r="A14" t="s">
        <v>286</v>
      </c>
      <c r="B14" s="2" t="s">
        <v>45</v>
      </c>
      <c r="D14" s="28">
        <f t="shared" ref="D14:AG14" si="2">D13*Sculpt_Scale</f>
        <v>24792321.949629627</v>
      </c>
      <c r="E14" s="28">
        <f t="shared" si="2"/>
        <v>24498123.844130367</v>
      </c>
      <c r="F14" s="28">
        <f t="shared" si="2"/>
        <v>24201102.162406642</v>
      </c>
      <c r="G14" s="28">
        <f t="shared" si="2"/>
        <v>23901154.595417943</v>
      </c>
      <c r="H14" s="28">
        <f t="shared" si="2"/>
        <v>23598176.498435199</v>
      </c>
      <c r="I14" s="28">
        <f t="shared" si="2"/>
        <v>23292060.831094302</v>
      </c>
      <c r="J14" s="28">
        <f t="shared" si="2"/>
        <v>22982698.095961824</v>
      </c>
      <c r="K14" s="28">
        <f t="shared" si="2"/>
        <v>22669976.275575746</v>
      </c>
      <c r="L14" s="28">
        <f t="shared" si="2"/>
        <v>22353780.767922837</v>
      </c>
      <c r="M14" s="28">
        <f t="shared" si="2"/>
        <v>22033994.320313733</v>
      </c>
      <c r="N14" s="28">
        <f t="shared" si="2"/>
        <v>21710496.961615395</v>
      </c>
      <c r="O14" s="28">
        <f t="shared" si="2"/>
        <v>21383165.932799868</v>
      </c>
      <c r="P14" s="28">
        <f t="shared" si="2"/>
        <v>21051875.615767274</v>
      </c>
      <c r="Q14" s="28">
        <f t="shared" si="2"/>
        <v>20716497.460399672</v>
      </c>
      <c r="R14" s="28">
        <f t="shared" si="2"/>
        <v>20376899.909801543</v>
      </c>
      <c r="S14" s="28">
        <f t="shared" si="2"/>
        <v>12949478.60227688</v>
      </c>
      <c r="T14" s="28">
        <f t="shared" si="2"/>
        <v>12690615.102055823</v>
      </c>
      <c r="U14" s="28">
        <f t="shared" si="2"/>
        <v>12429358.217586193</v>
      </c>
      <c r="V14" s="28">
        <f t="shared" si="2"/>
        <v>0</v>
      </c>
      <c r="W14" s="28">
        <f t="shared" si="2"/>
        <v>0</v>
      </c>
      <c r="X14" s="28">
        <f t="shared" si="2"/>
        <v>0</v>
      </c>
      <c r="Y14" s="28">
        <f t="shared" si="2"/>
        <v>0</v>
      </c>
      <c r="Z14" s="28">
        <f t="shared" si="2"/>
        <v>0</v>
      </c>
      <c r="AA14" s="28">
        <f t="shared" si="2"/>
        <v>0</v>
      </c>
      <c r="AB14" s="28">
        <f t="shared" si="2"/>
        <v>0</v>
      </c>
      <c r="AC14" s="28">
        <f t="shared" si="2"/>
        <v>0</v>
      </c>
      <c r="AD14" s="28">
        <f t="shared" si="2"/>
        <v>0</v>
      </c>
      <c r="AE14" s="28">
        <f t="shared" si="2"/>
        <v>0</v>
      </c>
      <c r="AF14" s="28">
        <f t="shared" si="2"/>
        <v>0</v>
      </c>
      <c r="AG14" s="28">
        <f t="shared" si="2"/>
        <v>0</v>
      </c>
    </row>
    <row r="15" spans="1:33" x14ac:dyDescent="0.2">
      <c r="A15" t="s">
        <v>287</v>
      </c>
      <c r="B15" s="2" t="s">
        <v>45</v>
      </c>
      <c r="D15" s="28">
        <f>Debt</f>
        <v>222404055.33628488</v>
      </c>
      <c r="E15" s="41">
        <f t="shared" ref="E15:AG15" si="3">D18</f>
        <v>213091055.63806069</v>
      </c>
      <c r="F15" s="41">
        <f t="shared" si="3"/>
        <v>203424069.26633933</v>
      </c>
      <c r="G15" s="41">
        <f t="shared" si="3"/>
        <v>193381282.3248699</v>
      </c>
      <c r="H15" s="41">
        <f t="shared" si="3"/>
        <v>182939464.97926289</v>
      </c>
      <c r="I15" s="41">
        <f t="shared" si="3"/>
        <v>172073875.24338439</v>
      </c>
      <c r="J15" s="41">
        <f t="shared" si="3"/>
        <v>160758156.12922964</v>
      </c>
      <c r="K15" s="41">
        <f t="shared" si="3"/>
        <v>148964225.69986218</v>
      </c>
      <c r="L15" s="41">
        <f t="shared" si="3"/>
        <v>136662159.53299683</v>
      </c>
      <c r="M15" s="41">
        <f t="shared" si="3"/>
        <v>123820065.06857057</v>
      </c>
      <c r="N15" s="41">
        <f t="shared" si="3"/>
        <v>110403947.27702935</v>
      </c>
      <c r="O15" s="41">
        <f t="shared" si="3"/>
        <v>96377565.045895189</v>
      </c>
      <c r="P15" s="41">
        <f t="shared" si="3"/>
        <v>81702277.64028962</v>
      </c>
      <c r="Q15" s="41">
        <f t="shared" si="3"/>
        <v>66336880.548286498</v>
      </c>
      <c r="R15" s="41">
        <f t="shared" si="3"/>
        <v>50237429.974047564</v>
      </c>
      <c r="S15" s="41">
        <f t="shared" si="3"/>
        <v>33357055.190439731</v>
      </c>
      <c r="T15" s="41">
        <f t="shared" si="3"/>
        <v>22729227.629417457</v>
      </c>
      <c r="U15" s="41">
        <f t="shared" si="3"/>
        <v>11620566.770369088</v>
      </c>
      <c r="V15" s="41">
        <f t="shared" si="3"/>
        <v>5.8300793170928955E-7</v>
      </c>
      <c r="W15" s="41">
        <f t="shared" si="3"/>
        <v>6.2358528375625614E-7</v>
      </c>
      <c r="X15" s="41">
        <f t="shared" si="3"/>
        <v>6.6698681950569155E-7</v>
      </c>
      <c r="Y15" s="41">
        <f t="shared" si="3"/>
        <v>7.134091021432877E-7</v>
      </c>
      <c r="Z15" s="41">
        <f t="shared" si="3"/>
        <v>7.6306237565246052E-7</v>
      </c>
      <c r="AA15" s="41">
        <f t="shared" si="3"/>
        <v>8.1617151699787176E-7</v>
      </c>
      <c r="AB15" s="41">
        <f t="shared" si="3"/>
        <v>8.729770545809236E-7</v>
      </c>
      <c r="AC15" s="41">
        <f t="shared" si="3"/>
        <v>9.3373625757975591E-7</v>
      </c>
      <c r="AD15" s="41">
        <f t="shared" si="3"/>
        <v>9.9872430110730682E-7</v>
      </c>
      <c r="AE15" s="41">
        <f t="shared" si="3"/>
        <v>1.0682355124643753E-6</v>
      </c>
      <c r="AF15" s="41">
        <f t="shared" si="3"/>
        <v>1.1425847041318958E-6</v>
      </c>
      <c r="AG15" s="41">
        <f t="shared" si="3"/>
        <v>1.2221085995394758E-6</v>
      </c>
    </row>
    <row r="16" spans="1:33" x14ac:dyDescent="0.2">
      <c r="A16" t="s">
        <v>288</v>
      </c>
      <c r="B16" s="2" t="s">
        <v>45</v>
      </c>
      <c r="D16" s="28">
        <f t="shared" ref="D16:AG16" si="4">D15*Rate</f>
        <v>15479322.251405425</v>
      </c>
      <c r="E16" s="28">
        <f t="shared" si="4"/>
        <v>14831137.472409023</v>
      </c>
      <c r="F16" s="28">
        <f t="shared" si="4"/>
        <v>14158315.220937217</v>
      </c>
      <c r="G16" s="28">
        <f t="shared" si="4"/>
        <v>13459337.249810943</v>
      </c>
      <c r="H16" s="28">
        <f t="shared" si="4"/>
        <v>12732586.762556696</v>
      </c>
      <c r="I16" s="28">
        <f t="shared" si="4"/>
        <v>11976341.716939554</v>
      </c>
      <c r="J16" s="28">
        <f t="shared" si="4"/>
        <v>11188767.666594382</v>
      </c>
      <c r="K16" s="28">
        <f t="shared" si="4"/>
        <v>10367910.108710406</v>
      </c>
      <c r="L16" s="28">
        <f t="shared" si="4"/>
        <v>9511686.3034965787</v>
      </c>
      <c r="M16" s="28">
        <f t="shared" si="4"/>
        <v>8617876.5287725106</v>
      </c>
      <c r="N16" s="28">
        <f t="shared" si="4"/>
        <v>7684114.7304812418</v>
      </c>
      <c r="O16" s="28">
        <f t="shared" si="4"/>
        <v>6707878.5271943044</v>
      </c>
      <c r="P16" s="28">
        <f t="shared" si="4"/>
        <v>5686478.5237641567</v>
      </c>
      <c r="Q16" s="28">
        <f t="shared" si="4"/>
        <v>4617046.8861607397</v>
      </c>
      <c r="R16" s="28">
        <f t="shared" si="4"/>
        <v>3496525.1261937101</v>
      </c>
      <c r="S16" s="28">
        <f t="shared" si="4"/>
        <v>2321651.0412546052</v>
      </c>
      <c r="T16" s="28">
        <f t="shared" si="4"/>
        <v>1581954.2430074548</v>
      </c>
      <c r="U16" s="28">
        <f t="shared" si="4"/>
        <v>808791.44721768855</v>
      </c>
      <c r="V16" s="28">
        <f t="shared" si="4"/>
        <v>4.0577352046966547E-8</v>
      </c>
      <c r="W16" s="28">
        <f t="shared" si="4"/>
        <v>4.3401535749435423E-8</v>
      </c>
      <c r="X16" s="28">
        <f t="shared" si="4"/>
        <v>4.6422282637596131E-8</v>
      </c>
      <c r="Y16" s="28">
        <f t="shared" si="4"/>
        <v>4.9653273509172818E-8</v>
      </c>
      <c r="Z16" s="28">
        <f t="shared" si="4"/>
        <v>5.3109141345411246E-8</v>
      </c>
      <c r="AA16" s="28">
        <f t="shared" si="4"/>
        <v>5.6805537583051867E-8</v>
      </c>
      <c r="AB16" s="28">
        <f t="shared" si="4"/>
        <v>6.0759202998832276E-8</v>
      </c>
      <c r="AC16" s="28">
        <f t="shared" si="4"/>
        <v>6.4988043527551002E-8</v>
      </c>
      <c r="AD16" s="28">
        <f t="shared" si="4"/>
        <v>6.9511211357068556E-8</v>
      </c>
      <c r="AE16" s="28">
        <f t="shared" si="4"/>
        <v>7.4349191667520518E-8</v>
      </c>
      <c r="AF16" s="28">
        <f t="shared" si="4"/>
        <v>7.952389540757994E-8</v>
      </c>
      <c r="AG16" s="28">
        <f t="shared" si="4"/>
        <v>8.5058758527947513E-8</v>
      </c>
    </row>
    <row r="17" spans="1:33" x14ac:dyDescent="0.2">
      <c r="A17" t="s">
        <v>289</v>
      </c>
      <c r="B17" s="2" t="s">
        <v>45</v>
      </c>
      <c r="D17" s="41">
        <f t="shared" ref="D17:M18" si="5">D14-D16</f>
        <v>9312999.6982242018</v>
      </c>
      <c r="E17" s="41">
        <f t="shared" si="5"/>
        <v>9666986.3717213441</v>
      </c>
      <c r="F17" s="41">
        <f t="shared" si="5"/>
        <v>10042786.941469425</v>
      </c>
      <c r="G17" s="41">
        <f t="shared" si="5"/>
        <v>10441817.345606999</v>
      </c>
      <c r="H17" s="41">
        <f t="shared" si="5"/>
        <v>10865589.735878503</v>
      </c>
      <c r="I17" s="41">
        <f t="shared" si="5"/>
        <v>11315719.114154749</v>
      </c>
      <c r="J17" s="41">
        <f t="shared" si="5"/>
        <v>11793930.429367442</v>
      </c>
      <c r="K17" s="41">
        <f t="shared" si="5"/>
        <v>12302066.16686534</v>
      </c>
      <c r="L17" s="41">
        <f t="shared" si="5"/>
        <v>12842094.464426259</v>
      </c>
      <c r="M17" s="41">
        <f t="shared" si="5"/>
        <v>13416117.791541222</v>
      </c>
      <c r="N17" s="41">
        <f t="shared" ref="N17:W18" si="6">N14-N16</f>
        <v>14026382.231134154</v>
      </c>
      <c r="O17" s="41">
        <f t="shared" si="6"/>
        <v>14675287.405605564</v>
      </c>
      <c r="P17" s="41">
        <f t="shared" si="6"/>
        <v>15365397.092003118</v>
      </c>
      <c r="Q17" s="41">
        <f t="shared" si="6"/>
        <v>16099450.574238934</v>
      </c>
      <c r="R17" s="41">
        <f t="shared" si="6"/>
        <v>16880374.783607833</v>
      </c>
      <c r="S17" s="41">
        <f t="shared" si="6"/>
        <v>10627827.561022274</v>
      </c>
      <c r="T17" s="41">
        <f t="shared" si="6"/>
        <v>11108660.859048368</v>
      </c>
      <c r="U17" s="41">
        <f t="shared" si="6"/>
        <v>11620566.770368505</v>
      </c>
      <c r="V17" s="41">
        <f t="shared" si="6"/>
        <v>-4.0577352046966547E-8</v>
      </c>
      <c r="W17" s="41">
        <f t="shared" si="6"/>
        <v>-4.3401535749435423E-8</v>
      </c>
      <c r="X17" s="41">
        <f t="shared" ref="X17:AG18" si="7">X14-X16</f>
        <v>-4.6422282637596131E-8</v>
      </c>
      <c r="Y17" s="41">
        <f t="shared" si="7"/>
        <v>-4.9653273509172818E-8</v>
      </c>
      <c r="Z17" s="41">
        <f t="shared" si="7"/>
        <v>-5.3109141345411246E-8</v>
      </c>
      <c r="AA17" s="41">
        <f t="shared" si="7"/>
        <v>-5.6805537583051867E-8</v>
      </c>
      <c r="AB17" s="41">
        <f t="shared" si="7"/>
        <v>-6.0759202998832276E-8</v>
      </c>
      <c r="AC17" s="41">
        <f t="shared" si="7"/>
        <v>-6.4988043527551002E-8</v>
      </c>
      <c r="AD17" s="41">
        <f t="shared" si="7"/>
        <v>-6.9511211357068556E-8</v>
      </c>
      <c r="AE17" s="41">
        <f t="shared" si="7"/>
        <v>-7.4349191667520518E-8</v>
      </c>
      <c r="AF17" s="41">
        <f t="shared" si="7"/>
        <v>-7.952389540757994E-8</v>
      </c>
      <c r="AG17" s="41">
        <f t="shared" si="7"/>
        <v>-8.5058758527947513E-8</v>
      </c>
    </row>
    <row r="18" spans="1:33" x14ac:dyDescent="0.2">
      <c r="A18" t="s">
        <v>290</v>
      </c>
      <c r="B18" s="2" t="s">
        <v>45</v>
      </c>
      <c r="D18" s="41">
        <f t="shared" si="5"/>
        <v>213091055.63806069</v>
      </c>
      <c r="E18" s="41">
        <f t="shared" si="5"/>
        <v>203424069.26633933</v>
      </c>
      <c r="F18" s="41">
        <f t="shared" si="5"/>
        <v>193381282.3248699</v>
      </c>
      <c r="G18" s="41">
        <f t="shared" si="5"/>
        <v>182939464.97926289</v>
      </c>
      <c r="H18" s="41">
        <f t="shared" si="5"/>
        <v>172073875.24338439</v>
      </c>
      <c r="I18" s="41">
        <f t="shared" si="5"/>
        <v>160758156.12922964</v>
      </c>
      <c r="J18" s="41">
        <f t="shared" si="5"/>
        <v>148964225.69986218</v>
      </c>
      <c r="K18" s="41">
        <f t="shared" si="5"/>
        <v>136662159.53299683</v>
      </c>
      <c r="L18" s="41">
        <f t="shared" si="5"/>
        <v>123820065.06857057</v>
      </c>
      <c r="M18" s="41">
        <f t="shared" si="5"/>
        <v>110403947.27702935</v>
      </c>
      <c r="N18" s="41">
        <f t="shared" si="6"/>
        <v>96377565.045895189</v>
      </c>
      <c r="O18" s="41">
        <f t="shared" si="6"/>
        <v>81702277.64028962</v>
      </c>
      <c r="P18" s="41">
        <f t="shared" si="6"/>
        <v>66336880.548286498</v>
      </c>
      <c r="Q18" s="41">
        <f t="shared" si="6"/>
        <v>50237429.974047564</v>
      </c>
      <c r="R18" s="41">
        <f t="shared" si="6"/>
        <v>33357055.190439731</v>
      </c>
      <c r="S18" s="41">
        <f t="shared" si="6"/>
        <v>22729227.629417457</v>
      </c>
      <c r="T18" s="41">
        <f t="shared" si="6"/>
        <v>11620566.770369088</v>
      </c>
      <c r="U18" s="41">
        <f t="shared" si="6"/>
        <v>5.8300793170928955E-7</v>
      </c>
      <c r="V18" s="41">
        <f t="shared" si="6"/>
        <v>6.2358528375625614E-7</v>
      </c>
      <c r="W18" s="41">
        <f t="shared" si="6"/>
        <v>6.6698681950569155E-7</v>
      </c>
      <c r="X18" s="41">
        <f t="shared" si="7"/>
        <v>7.134091021432877E-7</v>
      </c>
      <c r="Y18" s="41">
        <f t="shared" si="7"/>
        <v>7.6306237565246052E-7</v>
      </c>
      <c r="Z18" s="41">
        <f t="shared" si="7"/>
        <v>8.1617151699787176E-7</v>
      </c>
      <c r="AA18" s="41">
        <f t="shared" si="7"/>
        <v>8.729770545809236E-7</v>
      </c>
      <c r="AB18" s="41">
        <f t="shared" si="7"/>
        <v>9.3373625757975591E-7</v>
      </c>
      <c r="AC18" s="41">
        <f t="shared" si="7"/>
        <v>9.9872430110730682E-7</v>
      </c>
      <c r="AD18" s="41">
        <f t="shared" si="7"/>
        <v>1.0682355124643753E-6</v>
      </c>
      <c r="AE18" s="41">
        <f t="shared" si="7"/>
        <v>1.1425847041318958E-6</v>
      </c>
      <c r="AF18" s="41">
        <f t="shared" si="7"/>
        <v>1.2221085995394758E-6</v>
      </c>
      <c r="AG18" s="41">
        <f t="shared" si="7"/>
        <v>1.3071673580674233E-6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5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3" ht="18" x14ac:dyDescent="0.2">
      <c r="A1" s="9" t="s">
        <v>291</v>
      </c>
    </row>
    <row r="2" spans="1:33" x14ac:dyDescent="0.2">
      <c r="A2" s="2" t="s">
        <v>292</v>
      </c>
    </row>
    <row r="4" spans="1:33" x14ac:dyDescent="0.2">
      <c r="A4" s="30" t="s">
        <v>243</v>
      </c>
      <c r="B4" s="30" t="s">
        <v>71</v>
      </c>
      <c r="C4" s="31"/>
      <c r="D4" s="31">
        <v>1</v>
      </c>
      <c r="E4" s="31">
        <f t="shared" ref="E4:AG4" si="0">D4+1</f>
        <v>2</v>
      </c>
      <c r="F4" s="31">
        <f t="shared" si="0"/>
        <v>3</v>
      </c>
      <c r="G4" s="31">
        <f t="shared" si="0"/>
        <v>4</v>
      </c>
      <c r="H4" s="31">
        <f t="shared" si="0"/>
        <v>5</v>
      </c>
      <c r="I4" s="31">
        <f t="shared" si="0"/>
        <v>6</v>
      </c>
      <c r="J4" s="31">
        <f t="shared" si="0"/>
        <v>7</v>
      </c>
      <c r="K4" s="31">
        <f t="shared" si="0"/>
        <v>8</v>
      </c>
      <c r="L4" s="31">
        <f t="shared" si="0"/>
        <v>9</v>
      </c>
      <c r="M4" s="31">
        <f t="shared" si="0"/>
        <v>10</v>
      </c>
      <c r="N4" s="31">
        <f t="shared" si="0"/>
        <v>11</v>
      </c>
      <c r="O4" s="31">
        <f t="shared" si="0"/>
        <v>12</v>
      </c>
      <c r="P4" s="31">
        <f t="shared" si="0"/>
        <v>13</v>
      </c>
      <c r="Q4" s="31">
        <f t="shared" si="0"/>
        <v>14</v>
      </c>
      <c r="R4" s="31">
        <f t="shared" si="0"/>
        <v>15</v>
      </c>
      <c r="S4" s="31">
        <f t="shared" si="0"/>
        <v>16</v>
      </c>
      <c r="T4" s="31">
        <f t="shared" si="0"/>
        <v>17</v>
      </c>
      <c r="U4" s="31">
        <f t="shared" si="0"/>
        <v>18</v>
      </c>
      <c r="V4" s="31">
        <f t="shared" si="0"/>
        <v>19</v>
      </c>
      <c r="W4" s="31">
        <f t="shared" si="0"/>
        <v>20</v>
      </c>
      <c r="X4" s="31">
        <f t="shared" si="0"/>
        <v>21</v>
      </c>
      <c r="Y4" s="31">
        <f t="shared" si="0"/>
        <v>22</v>
      </c>
      <c r="Z4" s="31">
        <f t="shared" si="0"/>
        <v>23</v>
      </c>
      <c r="AA4" s="31">
        <f t="shared" si="0"/>
        <v>24</v>
      </c>
      <c r="AB4" s="30">
        <f t="shared" si="0"/>
        <v>25</v>
      </c>
      <c r="AC4" s="31">
        <f t="shared" si="0"/>
        <v>26</v>
      </c>
      <c r="AD4" s="31">
        <f t="shared" si="0"/>
        <v>27</v>
      </c>
      <c r="AE4" s="31">
        <f t="shared" si="0"/>
        <v>28</v>
      </c>
      <c r="AF4" s="31">
        <f t="shared" si="0"/>
        <v>29</v>
      </c>
      <c r="AG4" s="31">
        <f t="shared" si="0"/>
        <v>30</v>
      </c>
    </row>
    <row r="5" spans="1:33" x14ac:dyDescent="0.2">
      <c r="A5" t="s">
        <v>293</v>
      </c>
      <c r="B5" s="2" t="s">
        <v>53</v>
      </c>
      <c r="D5" s="42">
        <f>IF(Debt_Sculpt!D12=1,CFADS!D5/Debt_Sculpt!D14,"")</f>
        <v>1.35</v>
      </c>
      <c r="E5" s="42">
        <f>IF(Debt_Sculpt!E12=1,CFADS!E5/Debt_Sculpt!E14,"")</f>
        <v>1.35</v>
      </c>
      <c r="F5" s="42">
        <f>IF(Debt_Sculpt!F12=1,CFADS!F5/Debt_Sculpt!F14,"")</f>
        <v>1.35</v>
      </c>
      <c r="G5" s="42">
        <f>IF(Debt_Sculpt!G12=1,CFADS!G5/Debt_Sculpt!G14,"")</f>
        <v>1.35</v>
      </c>
      <c r="H5" s="42">
        <f>IF(Debt_Sculpt!H12=1,CFADS!H5/Debt_Sculpt!H14,"")</f>
        <v>1.35</v>
      </c>
      <c r="I5" s="42">
        <f>IF(Debt_Sculpt!I12=1,CFADS!I5/Debt_Sculpt!I14,"")</f>
        <v>1.35</v>
      </c>
      <c r="J5" s="42">
        <f>IF(Debt_Sculpt!J12=1,CFADS!J5/Debt_Sculpt!J14,"")</f>
        <v>1.35</v>
      </c>
      <c r="K5" s="42">
        <f>IF(Debt_Sculpt!K12=1,CFADS!K5/Debt_Sculpt!K14,"")</f>
        <v>1.35</v>
      </c>
      <c r="L5" s="42">
        <f>IF(Debt_Sculpt!L12=1,CFADS!L5/Debt_Sculpt!L14,"")</f>
        <v>1.35</v>
      </c>
      <c r="M5" s="42">
        <f>IF(Debt_Sculpt!M12=1,CFADS!M5/Debt_Sculpt!M14,"")</f>
        <v>1.35</v>
      </c>
      <c r="N5" s="42">
        <f>IF(Debt_Sculpt!N12=1,CFADS!N5/Debt_Sculpt!N14,"")</f>
        <v>1.35</v>
      </c>
      <c r="O5" s="42">
        <f>IF(Debt_Sculpt!O12=1,CFADS!O5/Debt_Sculpt!O14,"")</f>
        <v>1.35</v>
      </c>
      <c r="P5" s="42">
        <f>IF(Debt_Sculpt!P12=1,CFADS!P5/Debt_Sculpt!P14,"")</f>
        <v>1.3499999999999999</v>
      </c>
      <c r="Q5" s="42">
        <f>IF(Debt_Sculpt!Q12=1,CFADS!Q5/Debt_Sculpt!Q14,"")</f>
        <v>1.35</v>
      </c>
      <c r="R5" s="42">
        <f>IF(Debt_Sculpt!R12=1,CFADS!R5/Debt_Sculpt!R14,"")</f>
        <v>1.35</v>
      </c>
      <c r="S5" s="42">
        <f>IF(Debt_Sculpt!S12=1,CFADS!S5/Debt_Sculpt!S14,"")</f>
        <v>1.35</v>
      </c>
      <c r="T5" s="42">
        <f>IF(Debt_Sculpt!T12=1,CFADS!T5/Debt_Sculpt!T14,"")</f>
        <v>1.35</v>
      </c>
      <c r="U5" s="42">
        <f>IF(Debt_Sculpt!U12=1,CFADS!U5/Debt_Sculpt!U14,"")</f>
        <v>1.35</v>
      </c>
      <c r="V5" s="42" t="str">
        <f>IF(Debt_Sculpt!V12=1,CFADS!V5/Debt_Sculpt!V14,"")</f>
        <v/>
      </c>
      <c r="W5" s="42" t="str">
        <f>IF(Debt_Sculpt!W12=1,CFADS!W5/Debt_Sculpt!W14,"")</f>
        <v/>
      </c>
      <c r="X5" s="42" t="str">
        <f>IF(Debt_Sculpt!X12=1,CFADS!X5/Debt_Sculpt!X14,"")</f>
        <v/>
      </c>
      <c r="Y5" s="42" t="str">
        <f>IF(Debt_Sculpt!Y12=1,CFADS!Y5/Debt_Sculpt!Y14,"")</f>
        <v/>
      </c>
      <c r="Z5" s="42" t="str">
        <f>IF(Debt_Sculpt!Z12=1,CFADS!Z5/Debt_Sculpt!Z14,"")</f>
        <v/>
      </c>
      <c r="AA5" s="42" t="str">
        <f>IF(Debt_Sculpt!AA12=1,CFADS!AA5/Debt_Sculpt!AA14,"")</f>
        <v/>
      </c>
      <c r="AB5" s="42" t="str">
        <f>IF(Debt_Sculpt!AB12=1,CFADS!AB5/Debt_Sculpt!AB14,"")</f>
        <v/>
      </c>
      <c r="AC5" s="42" t="str">
        <f>IF(Debt_Sculpt!AC12=1,CFADS!AC5/Debt_Sculpt!AC14,"")</f>
        <v/>
      </c>
      <c r="AD5" s="42" t="str">
        <f>IF(Debt_Sculpt!AD12=1,CFADS!AD5/Debt_Sculpt!AD14,"")</f>
        <v/>
      </c>
      <c r="AE5" s="42" t="str">
        <f>IF(Debt_Sculpt!AE12=1,CFADS!AE5/Debt_Sculpt!AE14,"")</f>
        <v/>
      </c>
      <c r="AF5" s="42" t="str">
        <f>IF(Debt_Sculpt!AF12=1,CFADS!AF5/Debt_Sculpt!AF14,"")</f>
        <v/>
      </c>
      <c r="AG5" s="42" t="str">
        <f>IF(Debt_Sculpt!AG12=1,CFADS!AG5/Debt_Sculpt!AG14,"")</f>
        <v/>
      </c>
    </row>
    <row r="6" spans="1:33" x14ac:dyDescent="0.2">
      <c r="A6" t="s">
        <v>294</v>
      </c>
      <c r="B6" s="2" t="s">
        <v>53</v>
      </c>
      <c r="D6" s="42">
        <f>IF(Debt_Sculpt!D12=1,CFADS!D6/Debt_Sculpt!D14,"")</f>
        <v>1.2652962893540658</v>
      </c>
      <c r="E6" s="42">
        <f>IF(Debt_Sculpt!E12=1,CFADS!E6/Debt_Sculpt!E14,"")</f>
        <v>1.2648791284476562</v>
      </c>
      <c r="F6" s="42">
        <f>IF(Debt_Sculpt!F12=1,CFADS!F6/Debt_Sculpt!F14,"")</f>
        <v>1.2644375934805503</v>
      </c>
      <c r="G6" s="42">
        <f>IF(Debt_Sculpt!G12=1,CFADS!G6/Debt_Sculpt!G14,"")</f>
        <v>1.2639702811661371</v>
      </c>
      <c r="H6" s="42">
        <f>IF(Debt_Sculpt!H12=1,CFADS!H6/Debt_Sculpt!H14,"")</f>
        <v>1.2634756813723995</v>
      </c>
      <c r="I6" s="42">
        <f>IF(Debt_Sculpt!I12=1,CFADS!I6/Debt_Sculpt!I14,"")</f>
        <v>1.2629521666593968</v>
      </c>
      <c r="J6" s="42">
        <f>IF(Debt_Sculpt!J12=1,CFADS!J6/Debt_Sculpt!J14,"")</f>
        <v>1.2623979805603267</v>
      </c>
      <c r="K6" s="42">
        <f>IF(Debt_Sculpt!K12=1,CFADS!K6/Debt_Sculpt!K14,"")</f>
        <v>1.2618112244266044</v>
      </c>
      <c r="L6" s="42">
        <f>IF(Debt_Sculpt!L12=1,CFADS!L6/Debt_Sculpt!L14,"")</f>
        <v>1.2611898426274459</v>
      </c>
      <c r="M6" s="42">
        <f>IF(Debt_Sculpt!M12=1,CFADS!M6/Debt_Sculpt!M14,"")</f>
        <v>1.2605316058587586</v>
      </c>
      <c r="N6" s="42">
        <f>IF(Debt_Sculpt!N12=1,CFADS!N6/Debt_Sculpt!N14,"")</f>
        <v>1.2598340922735116</v>
      </c>
      <c r="O6" s="42">
        <f>IF(Debt_Sculpt!O12=1,CFADS!O6/Debt_Sculpt!O14,"")</f>
        <v>1.2590946660945386</v>
      </c>
      <c r="P6" s="42">
        <f>IF(Debt_Sculpt!P12=1,CFADS!P6/Debt_Sculpt!P14,"")</f>
        <v>1.2583104533090712</v>
      </c>
      <c r="Q6" s="42">
        <f>IF(Debt_Sculpt!Q12=1,CFADS!Q6/Debt_Sculpt!Q14,"")</f>
        <v>1.2574783139697248</v>
      </c>
      <c r="R6" s="42">
        <f>IF(Debt_Sculpt!R12=1,CFADS!R6/Debt_Sculpt!R14,"")</f>
        <v>1.2565948105360802</v>
      </c>
      <c r="S6" s="42">
        <f>IF(Debt_Sculpt!S12=1,CFADS!S6/Debt_Sculpt!S14,"")</f>
        <v>1.2040493329937856</v>
      </c>
      <c r="T6" s="42">
        <f>IF(Debt_Sculpt!T12=1,CFADS!T6/Debt_Sculpt!T14,"")</f>
        <v>1.2021147218620405</v>
      </c>
      <c r="U6" s="42">
        <f>IF(Debt_Sculpt!U12=1,CFADS!U6/Debt_Sculpt!U14,"")</f>
        <v>1.2000632272820222</v>
      </c>
      <c r="V6" s="42" t="str">
        <f>IF(Debt_Sculpt!V12=1,CFADS!V6/Debt_Sculpt!V14,"")</f>
        <v/>
      </c>
      <c r="W6" s="42" t="str">
        <f>IF(Debt_Sculpt!W12=1,CFADS!W6/Debt_Sculpt!W14,"")</f>
        <v/>
      </c>
      <c r="X6" s="42" t="str">
        <f>IF(Debt_Sculpt!X12=1,CFADS!X6/Debt_Sculpt!X14,"")</f>
        <v/>
      </c>
      <c r="Y6" s="42" t="str">
        <f>IF(Debt_Sculpt!Y12=1,CFADS!Y6/Debt_Sculpt!Y14,"")</f>
        <v/>
      </c>
      <c r="Z6" s="42" t="str">
        <f>IF(Debt_Sculpt!Z12=1,CFADS!Z6/Debt_Sculpt!Z14,"")</f>
        <v/>
      </c>
      <c r="AA6" s="42" t="str">
        <f>IF(Debt_Sculpt!AA12=1,CFADS!AA6/Debt_Sculpt!AA14,"")</f>
        <v/>
      </c>
      <c r="AB6" s="42" t="str">
        <f>IF(Debt_Sculpt!AB12=1,CFADS!AB6/Debt_Sculpt!AB14,"")</f>
        <v/>
      </c>
      <c r="AC6" s="42" t="str">
        <f>IF(Debt_Sculpt!AC12=1,CFADS!AC6/Debt_Sculpt!AC14,"")</f>
        <v/>
      </c>
      <c r="AD6" s="42" t="str">
        <f>IF(Debt_Sculpt!AD12=1,CFADS!AD6/Debt_Sculpt!AD14,"")</f>
        <v/>
      </c>
      <c r="AE6" s="42" t="str">
        <f>IF(Debt_Sculpt!AE12=1,CFADS!AE6/Debt_Sculpt!AE14,"")</f>
        <v/>
      </c>
      <c r="AF6" s="42" t="str">
        <f>IF(Debt_Sculpt!AF12=1,CFADS!AF6/Debt_Sculpt!AF14,"")</f>
        <v/>
      </c>
      <c r="AG6" s="42" t="str">
        <f>IF(Debt_Sculpt!AG12=1,CFADS!AG6/Debt_Sculpt!AG14,"")</f>
        <v/>
      </c>
    </row>
    <row r="7" spans="1:33" x14ac:dyDescent="0.2">
      <c r="A7" t="s">
        <v>295</v>
      </c>
      <c r="B7" s="2" t="s">
        <v>53</v>
      </c>
      <c r="D7" s="42">
        <f>IF(Debt_Sculpt!D12=1,CFADS!D7/Debt_Sculpt!D14,"")</f>
        <v>1.35</v>
      </c>
      <c r="E7" s="42">
        <f>IF(Debt_Sculpt!E12=1,CFADS!E7/Debt_Sculpt!E14,"")</f>
        <v>1.35</v>
      </c>
      <c r="F7" s="42">
        <f>IF(Debt_Sculpt!F12=1,CFADS!F7/Debt_Sculpt!F14,"")</f>
        <v>1.35</v>
      </c>
      <c r="G7" s="42">
        <f>IF(Debt_Sculpt!G12=1,CFADS!G7/Debt_Sculpt!G14,"")</f>
        <v>1.35</v>
      </c>
      <c r="H7" s="42">
        <f>IF(Debt_Sculpt!H12=1,CFADS!H7/Debt_Sculpt!H14,"")</f>
        <v>1.35</v>
      </c>
      <c r="I7" s="42">
        <f>IF(Debt_Sculpt!I12=1,CFADS!I7/Debt_Sculpt!I14,"")</f>
        <v>1.35</v>
      </c>
      <c r="J7" s="42">
        <f>IF(Debt_Sculpt!J12=1,CFADS!J7/Debt_Sculpt!J14,"")</f>
        <v>1.35</v>
      </c>
      <c r="K7" s="42">
        <f>IF(Debt_Sculpt!K12=1,CFADS!K7/Debt_Sculpt!K14,"")</f>
        <v>1.35</v>
      </c>
      <c r="L7" s="42">
        <f>IF(Debt_Sculpt!L12=1,CFADS!L7/Debt_Sculpt!L14,"")</f>
        <v>1.35</v>
      </c>
      <c r="M7" s="42">
        <f>IF(Debt_Sculpt!M12=1,CFADS!M7/Debt_Sculpt!M14,"")</f>
        <v>1.35</v>
      </c>
      <c r="N7" s="42">
        <f>IF(Debt_Sculpt!N12=1,CFADS!N7/Debt_Sculpt!N14,"")</f>
        <v>1.35</v>
      </c>
      <c r="O7" s="42">
        <f>IF(Debt_Sculpt!O12=1,CFADS!O7/Debt_Sculpt!O14,"")</f>
        <v>1.35</v>
      </c>
      <c r="P7" s="42">
        <f>IF(Debt_Sculpt!P12=1,CFADS!P7/Debt_Sculpt!P14,"")</f>
        <v>1.3499999999999999</v>
      </c>
      <c r="Q7" s="42">
        <f>IF(Debt_Sculpt!Q12=1,CFADS!Q7/Debt_Sculpt!Q14,"")</f>
        <v>1.35</v>
      </c>
      <c r="R7" s="42">
        <f>IF(Debt_Sculpt!R12=1,CFADS!R7/Debt_Sculpt!R14,"")</f>
        <v>1.35</v>
      </c>
      <c r="S7" s="42">
        <f>IF(Debt_Sculpt!S12=1,CFADS!S7/Debt_Sculpt!S14,"")</f>
        <v>1.35</v>
      </c>
      <c r="T7" s="42">
        <f>IF(Debt_Sculpt!T12=1,CFADS!T7/Debt_Sculpt!T14,"")</f>
        <v>1.35</v>
      </c>
      <c r="U7" s="42">
        <f>IF(Debt_Sculpt!U12=1,CFADS!U7/Debt_Sculpt!U14,"")</f>
        <v>1.35</v>
      </c>
      <c r="V7" s="42" t="str">
        <f>IF(Debt_Sculpt!V12=1,CFADS!V7/Debt_Sculpt!V14,"")</f>
        <v/>
      </c>
      <c r="W7" s="42" t="str">
        <f>IF(Debt_Sculpt!W12=1,CFADS!W7/Debt_Sculpt!W14,"")</f>
        <v/>
      </c>
      <c r="X7" s="42" t="str">
        <f>IF(Debt_Sculpt!X12=1,CFADS!X7/Debt_Sculpt!X14,"")</f>
        <v/>
      </c>
      <c r="Y7" s="42" t="str">
        <f>IF(Debt_Sculpt!Y12=1,CFADS!Y7/Debt_Sculpt!Y14,"")</f>
        <v/>
      </c>
      <c r="Z7" s="42" t="str">
        <f>IF(Debt_Sculpt!Z12=1,CFADS!Z7/Debt_Sculpt!Z14,"")</f>
        <v/>
      </c>
      <c r="AA7" s="42" t="str">
        <f>IF(Debt_Sculpt!AA12=1,CFADS!AA7/Debt_Sculpt!AA14,"")</f>
        <v/>
      </c>
      <c r="AB7" s="42" t="str">
        <f>IF(Debt_Sculpt!AB12=1,CFADS!AB7/Debt_Sculpt!AB14,"")</f>
        <v/>
      </c>
      <c r="AC7" s="42" t="str">
        <f>IF(Debt_Sculpt!AC12=1,CFADS!AC7/Debt_Sculpt!AC14,"")</f>
        <v/>
      </c>
      <c r="AD7" s="42" t="str">
        <f>IF(Debt_Sculpt!AD12=1,CFADS!AD7/Debt_Sculpt!AD14,"")</f>
        <v/>
      </c>
      <c r="AE7" s="42" t="str">
        <f>IF(Debt_Sculpt!AE12=1,CFADS!AE7/Debt_Sculpt!AE14,"")</f>
        <v/>
      </c>
      <c r="AF7" s="42" t="str">
        <f>IF(Debt_Sculpt!AF12=1,CFADS!AF7/Debt_Sculpt!AF14,"")</f>
        <v/>
      </c>
      <c r="AG7" s="42" t="str">
        <f>IF(Debt_Sculpt!AG12=1,CFADS!AG7/Debt_Sculpt!AG14,"")</f>
        <v/>
      </c>
    </row>
    <row r="8" spans="1:33" x14ac:dyDescent="0.2">
      <c r="A8" t="s">
        <v>296</v>
      </c>
      <c r="B8" s="2" t="s">
        <v>45</v>
      </c>
      <c r="D8" s="28">
        <f>CFADS!D5*Debt_Sculpt!D12</f>
        <v>33469634.631999999</v>
      </c>
      <c r="E8" s="28">
        <f>CFADS!E5*Debt_Sculpt!E12</f>
        <v>33072467.189576</v>
      </c>
      <c r="F8" s="28">
        <f>CFADS!F5*Debt_Sculpt!F12</f>
        <v>32671487.919248968</v>
      </c>
      <c r="G8" s="28">
        <f>CFADS!G5*Debt_Sculpt!G12</f>
        <v>32266558.703814223</v>
      </c>
      <c r="H8" s="28">
        <f>CFADS!H5*Debt_Sculpt!H12</f>
        <v>31857538.27288752</v>
      </c>
      <c r="I8" s="28">
        <f>CFADS!I5*Debt_Sculpt!I12</f>
        <v>31444282.121977311</v>
      </c>
      <c r="J8" s="28">
        <f>CFADS!J5*Debt_Sculpt!J12</f>
        <v>31026642.429548465</v>
      </c>
      <c r="K8" s="28">
        <f>CFADS!K5*Debt_Sculpt!K12</f>
        <v>30604467.972027257</v>
      </c>
      <c r="L8" s="28">
        <f>CFADS!L5*Debt_Sculpt!L12</f>
        <v>30177604.036695834</v>
      </c>
      <c r="M8" s="28">
        <f>CFADS!M5*Debt_Sculpt!M12</f>
        <v>29745892.332423542</v>
      </c>
      <c r="N8" s="28">
        <f>CFADS!N5*Debt_Sculpt!N12</f>
        <v>29309170.898180783</v>
      </c>
      <c r="O8" s="28">
        <f>CFADS!O5*Debt_Sculpt!O12</f>
        <v>28867274.009279825</v>
      </c>
      <c r="P8" s="28">
        <f>CFADS!P5*Debt_Sculpt!P12</f>
        <v>28420032.081285819</v>
      </c>
      <c r="Q8" s="28">
        <f>CFADS!Q5*Debt_Sculpt!Q12</f>
        <v>27967271.571539558</v>
      </c>
      <c r="R8" s="28">
        <f>CFADS!R5*Debt_Sculpt!R12</f>
        <v>27508814.878232084</v>
      </c>
      <c r="S8" s="28">
        <f>CFADS!S5*Debt_Sculpt!S12</f>
        <v>17481796.113073789</v>
      </c>
      <c r="T8" s="28">
        <f>CFADS!T5*Debt_Sculpt!T12</f>
        <v>17132330.387775362</v>
      </c>
      <c r="U8" s="28">
        <f>CFADS!U5*Debt_Sculpt!U12</f>
        <v>16779633.593741361</v>
      </c>
      <c r="V8" s="28">
        <f>CFADS!V5*Debt_Sculpt!V12</f>
        <v>0</v>
      </c>
      <c r="W8" s="28">
        <f>CFADS!W5*Debt_Sculpt!W12</f>
        <v>0</v>
      </c>
      <c r="X8" s="28">
        <f>CFADS!X5*Debt_Sculpt!X12</f>
        <v>0</v>
      </c>
      <c r="Y8" s="28">
        <f>CFADS!Y5*Debt_Sculpt!Y12</f>
        <v>0</v>
      </c>
      <c r="Z8" s="28">
        <f>CFADS!Z5*Debt_Sculpt!Z12</f>
        <v>0</v>
      </c>
      <c r="AA8" s="28">
        <f>CFADS!AA5*Debt_Sculpt!AA12</f>
        <v>0</v>
      </c>
      <c r="AB8" s="28">
        <f>CFADS!AB5*Debt_Sculpt!AB12</f>
        <v>0</v>
      </c>
      <c r="AC8" s="28">
        <f>CFADS!AC5*Debt_Sculpt!AC12</f>
        <v>0</v>
      </c>
      <c r="AD8" s="28">
        <f>CFADS!AD5*Debt_Sculpt!AD12</f>
        <v>0</v>
      </c>
      <c r="AE8" s="28">
        <f>CFADS!AE5*Debt_Sculpt!AE12</f>
        <v>0</v>
      </c>
      <c r="AF8" s="28">
        <f>CFADS!AF5*Debt_Sculpt!AF12</f>
        <v>0</v>
      </c>
      <c r="AG8" s="28">
        <f>CFADS!AG5*Debt_Sculpt!AG12</f>
        <v>0</v>
      </c>
    </row>
    <row r="9" spans="1:33" x14ac:dyDescent="0.2">
      <c r="A9" t="s">
        <v>297</v>
      </c>
      <c r="B9" s="2" t="s">
        <v>45</v>
      </c>
      <c r="D9" s="28">
        <f>CFADS!D7*Debt_Sculpt!D12</f>
        <v>33469634.631999999</v>
      </c>
      <c r="E9" s="28">
        <f>CFADS!E7*Debt_Sculpt!E12</f>
        <v>33072467.189576</v>
      </c>
      <c r="F9" s="28">
        <f>CFADS!F7*Debt_Sculpt!F12</f>
        <v>32671487.919248968</v>
      </c>
      <c r="G9" s="28">
        <f>CFADS!G7*Debt_Sculpt!G12</f>
        <v>32266558.703814223</v>
      </c>
      <c r="H9" s="28">
        <f>CFADS!H7*Debt_Sculpt!H12</f>
        <v>31857538.27288752</v>
      </c>
      <c r="I9" s="28">
        <f>CFADS!I7*Debt_Sculpt!I12</f>
        <v>31444282.121977311</v>
      </c>
      <c r="J9" s="28">
        <f>CFADS!J7*Debt_Sculpt!J12</f>
        <v>31026642.429548465</v>
      </c>
      <c r="K9" s="28">
        <f>CFADS!K7*Debt_Sculpt!K12</f>
        <v>30604467.972027257</v>
      </c>
      <c r="L9" s="28">
        <f>CFADS!L7*Debt_Sculpt!L12</f>
        <v>30177604.036695834</v>
      </c>
      <c r="M9" s="28">
        <f>CFADS!M7*Debt_Sculpt!M12</f>
        <v>29745892.332423542</v>
      </c>
      <c r="N9" s="28">
        <f>CFADS!N7*Debt_Sculpt!N12</f>
        <v>29309170.898180783</v>
      </c>
      <c r="O9" s="28">
        <f>CFADS!O7*Debt_Sculpt!O12</f>
        <v>28867274.009279825</v>
      </c>
      <c r="P9" s="28">
        <f>CFADS!P7*Debt_Sculpt!P12</f>
        <v>28420032.081285819</v>
      </c>
      <c r="Q9" s="28">
        <f>CFADS!Q7*Debt_Sculpt!Q12</f>
        <v>27967271.571539558</v>
      </c>
      <c r="R9" s="28">
        <f>CFADS!R7*Debt_Sculpt!R12</f>
        <v>27508814.878232084</v>
      </c>
      <c r="S9" s="28">
        <f>CFADS!S7*Debt_Sculpt!S12</f>
        <v>17481796.113073789</v>
      </c>
      <c r="T9" s="28">
        <f>CFADS!T7*Debt_Sculpt!T12</f>
        <v>17132330.387775362</v>
      </c>
      <c r="U9" s="28">
        <f>CFADS!U7*Debt_Sculpt!U12</f>
        <v>16779633.593741361</v>
      </c>
      <c r="V9" s="28">
        <f>CFADS!V7*Debt_Sculpt!V12</f>
        <v>0</v>
      </c>
      <c r="W9" s="28">
        <f>CFADS!W7*Debt_Sculpt!W12</f>
        <v>0</v>
      </c>
      <c r="X9" s="28">
        <f>CFADS!X7*Debt_Sculpt!X12</f>
        <v>0</v>
      </c>
      <c r="Y9" s="28">
        <f>CFADS!Y7*Debt_Sculpt!Y12</f>
        <v>0</v>
      </c>
      <c r="Z9" s="28">
        <f>CFADS!Z7*Debt_Sculpt!Z12</f>
        <v>0</v>
      </c>
      <c r="AA9" s="28">
        <f>CFADS!AA7*Debt_Sculpt!AA12</f>
        <v>0</v>
      </c>
      <c r="AB9" s="28">
        <f>CFADS!AB7*Debt_Sculpt!AB12</f>
        <v>0</v>
      </c>
      <c r="AC9" s="28">
        <f>CFADS!AC7*Debt_Sculpt!AC12</f>
        <v>0</v>
      </c>
      <c r="AD9" s="28">
        <f>CFADS!AD7*Debt_Sculpt!AD12</f>
        <v>0</v>
      </c>
      <c r="AE9" s="28">
        <f>CFADS!AE7*Debt_Sculpt!AE12</f>
        <v>0</v>
      </c>
      <c r="AF9" s="28">
        <f>CFADS!AF7*Debt_Sculpt!AF12</f>
        <v>0</v>
      </c>
      <c r="AG9" s="28">
        <f>CFADS!AG7*Debt_Sculpt!AG12</f>
        <v>0</v>
      </c>
    </row>
    <row r="10" spans="1:33" x14ac:dyDescent="0.2">
      <c r="A10" t="s">
        <v>298</v>
      </c>
      <c r="B10" s="2" t="s">
        <v>45</v>
      </c>
      <c r="D10" s="34">
        <f>MIN(CFADS!D5/DSCR_P50_Target,CFADS!D6/DSCR_P90_Target)*Debt_Sculpt!D12-Debt_Sculpt!D14/Sculpt_Scale</f>
        <v>0</v>
      </c>
      <c r="E10" s="34">
        <f>MIN(CFADS!E5/DSCR_P50_Target,CFADS!E6/DSCR_P90_Target)*Debt_Sculpt!E12-Debt_Sculpt!E14/Sculpt_Scale</f>
        <v>0</v>
      </c>
      <c r="F10" s="34">
        <f>MIN(CFADS!F5/DSCR_P50_Target,CFADS!F6/DSCR_P90_Target)*Debt_Sculpt!F12-Debt_Sculpt!F14/Sculpt_Scale</f>
        <v>0</v>
      </c>
      <c r="G10" s="34">
        <f>MIN(CFADS!G5/DSCR_P50_Target,CFADS!G6/DSCR_P90_Target)*Debt_Sculpt!G12-Debt_Sculpt!G14/Sculpt_Scale</f>
        <v>0</v>
      </c>
      <c r="H10" s="34">
        <f>MIN(CFADS!H5/DSCR_P50_Target,CFADS!H6/DSCR_P90_Target)*Debt_Sculpt!H12-Debt_Sculpt!H14/Sculpt_Scale</f>
        <v>0</v>
      </c>
      <c r="I10" s="34">
        <f>MIN(CFADS!I5/DSCR_P50_Target,CFADS!I6/DSCR_P90_Target)*Debt_Sculpt!I12-Debt_Sculpt!I14/Sculpt_Scale</f>
        <v>0</v>
      </c>
      <c r="J10" s="34">
        <f>MIN(CFADS!J5/DSCR_P50_Target,CFADS!J6/DSCR_P90_Target)*Debt_Sculpt!J12-Debt_Sculpt!J14/Sculpt_Scale</f>
        <v>0</v>
      </c>
      <c r="K10" s="34">
        <f>MIN(CFADS!K5/DSCR_P50_Target,CFADS!K6/DSCR_P90_Target)*Debt_Sculpt!K12-Debt_Sculpt!K14/Sculpt_Scale</f>
        <v>0</v>
      </c>
      <c r="L10" s="34">
        <f>MIN(CFADS!L5/DSCR_P50_Target,CFADS!L6/DSCR_P90_Target)*Debt_Sculpt!L12-Debt_Sculpt!L14/Sculpt_Scale</f>
        <v>0</v>
      </c>
      <c r="M10" s="34">
        <f>MIN(CFADS!M5/DSCR_P50_Target,CFADS!M6/DSCR_P90_Target)*Debt_Sculpt!M12-Debt_Sculpt!M14/Sculpt_Scale</f>
        <v>0</v>
      </c>
      <c r="N10" s="34">
        <f>MIN(CFADS!N5/DSCR_P50_Target,CFADS!N6/DSCR_P90_Target)*Debt_Sculpt!N12-Debt_Sculpt!N14/Sculpt_Scale</f>
        <v>0</v>
      </c>
      <c r="O10" s="34">
        <f>MIN(CFADS!O5/DSCR_P50_Target,CFADS!O6/DSCR_P90_Target)*Debt_Sculpt!O12-Debt_Sculpt!O14/Sculpt_Scale</f>
        <v>0</v>
      </c>
      <c r="P10" s="34">
        <f>MIN(CFADS!P5/DSCR_P50_Target,CFADS!P6/DSCR_P90_Target)*Debt_Sculpt!P12-Debt_Sculpt!P14/Sculpt_Scale</f>
        <v>0</v>
      </c>
      <c r="Q10" s="34">
        <f>MIN(CFADS!Q5/DSCR_P50_Target,CFADS!Q6/DSCR_P90_Target)*Debt_Sculpt!Q12-Debt_Sculpt!Q14/Sculpt_Scale</f>
        <v>0</v>
      </c>
      <c r="R10" s="34">
        <f>MIN(CFADS!R5/DSCR_P50_Target,CFADS!R6/DSCR_P90_Target)*Debt_Sculpt!R12-Debt_Sculpt!R14/Sculpt_Scale</f>
        <v>0</v>
      </c>
      <c r="S10" s="34">
        <f>MIN(CFADS!S5/DSCR_P50_Target,CFADS!S6/DSCR_P90_Target)*Debt_Sculpt!S12-Debt_Sculpt!S14/Sculpt_Scale</f>
        <v>0</v>
      </c>
      <c r="T10" s="34">
        <f>MIN(CFADS!T5/DSCR_P50_Target,CFADS!T6/DSCR_P90_Target)*Debt_Sculpt!T12-Debt_Sculpt!T14/Sculpt_Scale</f>
        <v>0</v>
      </c>
      <c r="U10" s="34">
        <f>MIN(CFADS!U5/DSCR_P50_Target,CFADS!U6/DSCR_P90_Target)*Debt_Sculpt!U12-Debt_Sculpt!U14/Sculpt_Scale</f>
        <v>0</v>
      </c>
      <c r="V10" s="34">
        <f>MIN(CFADS!V5/DSCR_P50_Target,CFADS!V6/DSCR_P90_Target)*Debt_Sculpt!V12-Debt_Sculpt!V14/Sculpt_Scale</f>
        <v>0</v>
      </c>
      <c r="W10" s="34">
        <f>MIN(CFADS!W5/DSCR_P50_Target,CFADS!W6/DSCR_P90_Target)*Debt_Sculpt!W12-Debt_Sculpt!W14/Sculpt_Scale</f>
        <v>0</v>
      </c>
      <c r="X10" s="34">
        <f>MIN(CFADS!X5/DSCR_P50_Target,CFADS!X6/DSCR_P90_Target)*Debt_Sculpt!X12-Debt_Sculpt!X14/Sculpt_Scale</f>
        <v>0</v>
      </c>
      <c r="Y10" s="34">
        <f>MIN(CFADS!Y5/DSCR_P50_Target,CFADS!Y6/DSCR_P90_Target)*Debt_Sculpt!Y12-Debt_Sculpt!Y14/Sculpt_Scale</f>
        <v>0</v>
      </c>
      <c r="Z10" s="34">
        <f>MIN(CFADS!Z5/DSCR_P50_Target,CFADS!Z6/DSCR_P90_Target)*Debt_Sculpt!Z12-Debt_Sculpt!Z14/Sculpt_Scale</f>
        <v>0</v>
      </c>
      <c r="AA10" s="34">
        <f>MIN(CFADS!AA5/DSCR_P50_Target,CFADS!AA6/DSCR_P90_Target)*Debt_Sculpt!AA12-Debt_Sculpt!AA14/Sculpt_Scale</f>
        <v>0</v>
      </c>
      <c r="AB10" s="34">
        <f>MIN(CFADS!AB5/DSCR_P50_Target,CFADS!AB6/DSCR_P90_Target)*Debt_Sculpt!AB12-Debt_Sculpt!AB14/Sculpt_Scale</f>
        <v>0</v>
      </c>
      <c r="AC10" s="34">
        <f>MIN(CFADS!AC5/DSCR_P50_Target,CFADS!AC6/DSCR_P90_Target)*Debt_Sculpt!AC12-Debt_Sculpt!AC14/Sculpt_Scale</f>
        <v>0</v>
      </c>
      <c r="AD10" s="34">
        <f>MIN(CFADS!AD5/DSCR_P50_Target,CFADS!AD6/DSCR_P90_Target)*Debt_Sculpt!AD12-Debt_Sculpt!AD14/Sculpt_Scale</f>
        <v>0</v>
      </c>
      <c r="AE10" s="34">
        <f>MIN(CFADS!AE5/DSCR_P50_Target,CFADS!AE6/DSCR_P90_Target)*Debt_Sculpt!AE12-Debt_Sculpt!AE14/Sculpt_Scale</f>
        <v>0</v>
      </c>
      <c r="AF10" s="34">
        <f>MIN(CFADS!AF5/DSCR_P50_Target,CFADS!AF6/DSCR_P90_Target)*Debt_Sculpt!AF12-Debt_Sculpt!AF14/Sculpt_Scale</f>
        <v>0</v>
      </c>
      <c r="AG10" s="34">
        <f>MIN(CFADS!AG5/DSCR_P50_Target,CFADS!AG6/DSCR_P90_Target)*Debt_Sculpt!AG12-Debt_Sculpt!AG14/Sculpt_Scale</f>
        <v>0</v>
      </c>
    </row>
    <row r="11" spans="1:33" x14ac:dyDescent="0.2">
      <c r="A11" t="s">
        <v>299</v>
      </c>
      <c r="B11" s="2" t="s">
        <v>45</v>
      </c>
      <c r="D11" s="35">
        <f t="shared" ref="D11:AG11" si="1">ABS(D10)</f>
        <v>0</v>
      </c>
      <c r="E11" s="35">
        <f t="shared" si="1"/>
        <v>0</v>
      </c>
      <c r="F11" s="35">
        <f t="shared" si="1"/>
        <v>0</v>
      </c>
      <c r="G11" s="35">
        <f t="shared" si="1"/>
        <v>0</v>
      </c>
      <c r="H11" s="35">
        <f t="shared" si="1"/>
        <v>0</v>
      </c>
      <c r="I11" s="35">
        <f t="shared" si="1"/>
        <v>0</v>
      </c>
      <c r="J11" s="35">
        <f t="shared" si="1"/>
        <v>0</v>
      </c>
      <c r="K11" s="35">
        <f t="shared" si="1"/>
        <v>0</v>
      </c>
      <c r="L11" s="35">
        <f t="shared" si="1"/>
        <v>0</v>
      </c>
      <c r="M11" s="35">
        <f t="shared" si="1"/>
        <v>0</v>
      </c>
      <c r="N11" s="35">
        <f t="shared" si="1"/>
        <v>0</v>
      </c>
      <c r="O11" s="35">
        <f t="shared" si="1"/>
        <v>0</v>
      </c>
      <c r="P11" s="35">
        <f t="shared" si="1"/>
        <v>0</v>
      </c>
      <c r="Q11" s="35">
        <f t="shared" si="1"/>
        <v>0</v>
      </c>
      <c r="R11" s="35">
        <f t="shared" si="1"/>
        <v>0</v>
      </c>
      <c r="S11" s="35">
        <f t="shared" si="1"/>
        <v>0</v>
      </c>
      <c r="T11" s="35">
        <f t="shared" si="1"/>
        <v>0</v>
      </c>
      <c r="U11" s="35">
        <f t="shared" si="1"/>
        <v>0</v>
      </c>
      <c r="V11" s="35">
        <f t="shared" si="1"/>
        <v>0</v>
      </c>
      <c r="W11" s="35">
        <f t="shared" si="1"/>
        <v>0</v>
      </c>
      <c r="X11" s="35">
        <f t="shared" si="1"/>
        <v>0</v>
      </c>
      <c r="Y11" s="35">
        <f t="shared" si="1"/>
        <v>0</v>
      </c>
      <c r="Z11" s="35">
        <f t="shared" si="1"/>
        <v>0</v>
      </c>
      <c r="AA11" s="35">
        <f t="shared" si="1"/>
        <v>0</v>
      </c>
      <c r="AB11" s="35">
        <f t="shared" si="1"/>
        <v>0</v>
      </c>
      <c r="AC11" s="35">
        <f t="shared" si="1"/>
        <v>0</v>
      </c>
      <c r="AD11" s="35">
        <f t="shared" si="1"/>
        <v>0</v>
      </c>
      <c r="AE11" s="35">
        <f t="shared" si="1"/>
        <v>0</v>
      </c>
      <c r="AF11" s="35">
        <f t="shared" si="1"/>
        <v>0</v>
      </c>
      <c r="AG11" s="35">
        <f t="shared" si="1"/>
        <v>0</v>
      </c>
    </row>
    <row r="12" spans="1:33" x14ac:dyDescent="0.2">
      <c r="A12" t="s">
        <v>300</v>
      </c>
      <c r="B12" s="2" t="s">
        <v>248</v>
      </c>
      <c r="D12" s="33">
        <f>IF(Debt_Sculpt!D12=1,IF(CFADS!D7/Debt_Sculpt!D14&lt;DSCR_Lockup,1,0),0)</f>
        <v>0</v>
      </c>
      <c r="E12" s="33">
        <f>IF(Debt_Sculpt!E12=1,IF(CFADS!E7/Debt_Sculpt!E14&lt;DSCR_Lockup,1,0),0)</f>
        <v>0</v>
      </c>
      <c r="F12" s="33">
        <f>IF(Debt_Sculpt!F12=1,IF(CFADS!F7/Debt_Sculpt!F14&lt;DSCR_Lockup,1,0),0)</f>
        <v>0</v>
      </c>
      <c r="G12" s="33">
        <f>IF(Debt_Sculpt!G12=1,IF(CFADS!G7/Debt_Sculpt!G14&lt;DSCR_Lockup,1,0),0)</f>
        <v>0</v>
      </c>
      <c r="H12" s="33">
        <f>IF(Debt_Sculpt!H12=1,IF(CFADS!H7/Debt_Sculpt!H14&lt;DSCR_Lockup,1,0),0)</f>
        <v>0</v>
      </c>
      <c r="I12" s="33">
        <f>IF(Debt_Sculpt!I12=1,IF(CFADS!I7/Debt_Sculpt!I14&lt;DSCR_Lockup,1,0),0)</f>
        <v>0</v>
      </c>
      <c r="J12" s="33">
        <f>IF(Debt_Sculpt!J12=1,IF(CFADS!J7/Debt_Sculpt!J14&lt;DSCR_Lockup,1,0),0)</f>
        <v>0</v>
      </c>
      <c r="K12" s="33">
        <f>IF(Debt_Sculpt!K12=1,IF(CFADS!K7/Debt_Sculpt!K14&lt;DSCR_Lockup,1,0),0)</f>
        <v>0</v>
      </c>
      <c r="L12" s="33">
        <f>IF(Debt_Sculpt!L12=1,IF(CFADS!L7/Debt_Sculpt!L14&lt;DSCR_Lockup,1,0),0)</f>
        <v>0</v>
      </c>
      <c r="M12" s="33">
        <f>IF(Debt_Sculpt!M12=1,IF(CFADS!M7/Debt_Sculpt!M14&lt;DSCR_Lockup,1,0),0)</f>
        <v>0</v>
      </c>
      <c r="N12" s="33">
        <f>IF(Debt_Sculpt!N12=1,IF(CFADS!N7/Debt_Sculpt!N14&lt;DSCR_Lockup,1,0),0)</f>
        <v>0</v>
      </c>
      <c r="O12" s="33">
        <f>IF(Debt_Sculpt!O12=1,IF(CFADS!O7/Debt_Sculpt!O14&lt;DSCR_Lockup,1,0),0)</f>
        <v>0</v>
      </c>
      <c r="P12" s="33">
        <f>IF(Debt_Sculpt!P12=1,IF(CFADS!P7/Debt_Sculpt!P14&lt;DSCR_Lockup,1,0),0)</f>
        <v>0</v>
      </c>
      <c r="Q12" s="33">
        <f>IF(Debt_Sculpt!Q12=1,IF(CFADS!Q7/Debt_Sculpt!Q14&lt;DSCR_Lockup,1,0),0)</f>
        <v>0</v>
      </c>
      <c r="R12" s="33">
        <f>IF(Debt_Sculpt!R12=1,IF(CFADS!R7/Debt_Sculpt!R14&lt;DSCR_Lockup,1,0),0)</f>
        <v>0</v>
      </c>
      <c r="S12" s="33">
        <f>IF(Debt_Sculpt!S12=1,IF(CFADS!S7/Debt_Sculpt!S14&lt;DSCR_Lockup,1,0),0)</f>
        <v>0</v>
      </c>
      <c r="T12" s="33">
        <f>IF(Debt_Sculpt!T12=1,IF(CFADS!T7/Debt_Sculpt!T14&lt;DSCR_Lockup,1,0),0)</f>
        <v>0</v>
      </c>
      <c r="U12" s="33">
        <f>IF(Debt_Sculpt!U12=1,IF(CFADS!U7/Debt_Sculpt!U14&lt;DSCR_Lockup,1,0),0)</f>
        <v>0</v>
      </c>
      <c r="V12" s="33">
        <f>IF(Debt_Sculpt!V12=1,IF(CFADS!V7/Debt_Sculpt!V14&lt;DSCR_Lockup,1,0),0)</f>
        <v>0</v>
      </c>
      <c r="W12" s="33">
        <f>IF(Debt_Sculpt!W12=1,IF(CFADS!W7/Debt_Sculpt!W14&lt;DSCR_Lockup,1,0),0)</f>
        <v>0</v>
      </c>
      <c r="X12" s="33">
        <f>IF(Debt_Sculpt!X12=1,IF(CFADS!X7/Debt_Sculpt!X14&lt;DSCR_Lockup,1,0),0)</f>
        <v>0</v>
      </c>
      <c r="Y12" s="33">
        <f>IF(Debt_Sculpt!Y12=1,IF(CFADS!Y7/Debt_Sculpt!Y14&lt;DSCR_Lockup,1,0),0)</f>
        <v>0</v>
      </c>
      <c r="Z12" s="33">
        <f>IF(Debt_Sculpt!Z12=1,IF(CFADS!Z7/Debt_Sculpt!Z14&lt;DSCR_Lockup,1,0),0)</f>
        <v>0</v>
      </c>
      <c r="AA12" s="33">
        <f>IF(Debt_Sculpt!AA12=1,IF(CFADS!AA7/Debt_Sculpt!AA14&lt;DSCR_Lockup,1,0),0)</f>
        <v>0</v>
      </c>
      <c r="AB12" s="33">
        <f>IF(Debt_Sculpt!AB12=1,IF(CFADS!AB7/Debt_Sculpt!AB14&lt;DSCR_Lockup,1,0),0)</f>
        <v>0</v>
      </c>
      <c r="AC12" s="33">
        <f>IF(Debt_Sculpt!AC12=1,IF(CFADS!AC7/Debt_Sculpt!AC14&lt;DSCR_Lockup,1,0),0)</f>
        <v>0</v>
      </c>
      <c r="AD12" s="33">
        <f>IF(Debt_Sculpt!AD12=1,IF(CFADS!AD7/Debt_Sculpt!AD14&lt;DSCR_Lockup,1,0),0)</f>
        <v>0</v>
      </c>
      <c r="AE12" s="33">
        <f>IF(Debt_Sculpt!AE12=1,IF(CFADS!AE7/Debt_Sculpt!AE14&lt;DSCR_Lockup,1,0),0)</f>
        <v>0</v>
      </c>
      <c r="AF12" s="33">
        <f>IF(Debt_Sculpt!AF12=1,IF(CFADS!AF7/Debt_Sculpt!AF14&lt;DSCR_Lockup,1,0),0)</f>
        <v>0</v>
      </c>
      <c r="AG12" s="33">
        <f>IF(Debt_Sculpt!AG12=1,IF(CFADS!AG7/Debt_Sculpt!AG14&lt;DSCR_Lockup,1,0),0)</f>
        <v>0</v>
      </c>
    </row>
    <row r="13" spans="1:33" x14ac:dyDescent="0.2">
      <c r="A13" t="s">
        <v>301</v>
      </c>
      <c r="B13" s="2" t="s">
        <v>248</v>
      </c>
      <c r="D13" s="33">
        <f>IF(Debt_Sculpt!D12=1,IF(CFADS!D7/Debt_Sculpt!D14&lt;DSCR_Default_PF,1,0),0)</f>
        <v>0</v>
      </c>
      <c r="E13" s="33">
        <f>IF(Debt_Sculpt!E12=1,IF(CFADS!E7/Debt_Sculpt!E14&lt;DSCR_Default_PF,1,0),0)</f>
        <v>0</v>
      </c>
      <c r="F13" s="33">
        <f>IF(Debt_Sculpt!F12=1,IF(CFADS!F7/Debt_Sculpt!F14&lt;DSCR_Default_PF,1,0),0)</f>
        <v>0</v>
      </c>
      <c r="G13" s="33">
        <f>IF(Debt_Sculpt!G12=1,IF(CFADS!G7/Debt_Sculpt!G14&lt;DSCR_Default_PF,1,0),0)</f>
        <v>0</v>
      </c>
      <c r="H13" s="33">
        <f>IF(Debt_Sculpt!H12=1,IF(CFADS!H7/Debt_Sculpt!H14&lt;DSCR_Default_PF,1,0),0)</f>
        <v>0</v>
      </c>
      <c r="I13" s="33">
        <f>IF(Debt_Sculpt!I12=1,IF(CFADS!I7/Debt_Sculpt!I14&lt;DSCR_Default_PF,1,0),0)</f>
        <v>0</v>
      </c>
      <c r="J13" s="33">
        <f>IF(Debt_Sculpt!J12=1,IF(CFADS!J7/Debt_Sculpt!J14&lt;DSCR_Default_PF,1,0),0)</f>
        <v>0</v>
      </c>
      <c r="K13" s="33">
        <f>IF(Debt_Sculpt!K12=1,IF(CFADS!K7/Debt_Sculpt!K14&lt;DSCR_Default_PF,1,0),0)</f>
        <v>0</v>
      </c>
      <c r="L13" s="33">
        <f>IF(Debt_Sculpt!L12=1,IF(CFADS!L7/Debt_Sculpt!L14&lt;DSCR_Default_PF,1,0),0)</f>
        <v>0</v>
      </c>
      <c r="M13" s="33">
        <f>IF(Debt_Sculpt!M12=1,IF(CFADS!M7/Debt_Sculpt!M14&lt;DSCR_Default_PF,1,0),0)</f>
        <v>0</v>
      </c>
      <c r="N13" s="33">
        <f>IF(Debt_Sculpt!N12=1,IF(CFADS!N7/Debt_Sculpt!N14&lt;DSCR_Default_PF,1,0),0)</f>
        <v>0</v>
      </c>
      <c r="O13" s="33">
        <f>IF(Debt_Sculpt!O12=1,IF(CFADS!O7/Debt_Sculpt!O14&lt;DSCR_Default_PF,1,0),0)</f>
        <v>0</v>
      </c>
      <c r="P13" s="33">
        <f>IF(Debt_Sculpt!P12=1,IF(CFADS!P7/Debt_Sculpt!P14&lt;DSCR_Default_PF,1,0),0)</f>
        <v>0</v>
      </c>
      <c r="Q13" s="33">
        <f>IF(Debt_Sculpt!Q12=1,IF(CFADS!Q7/Debt_Sculpt!Q14&lt;DSCR_Default_PF,1,0),0)</f>
        <v>0</v>
      </c>
      <c r="R13" s="33">
        <f>IF(Debt_Sculpt!R12=1,IF(CFADS!R7/Debt_Sculpt!R14&lt;DSCR_Default_PF,1,0),0)</f>
        <v>0</v>
      </c>
      <c r="S13" s="33">
        <f>IF(Debt_Sculpt!S12=1,IF(CFADS!S7/Debt_Sculpt!S14&lt;DSCR_Default_PF,1,0),0)</f>
        <v>0</v>
      </c>
      <c r="T13" s="33">
        <f>IF(Debt_Sculpt!T12=1,IF(CFADS!T7/Debt_Sculpt!T14&lt;DSCR_Default_PF,1,0),0)</f>
        <v>0</v>
      </c>
      <c r="U13" s="33">
        <f>IF(Debt_Sculpt!U12=1,IF(CFADS!U7/Debt_Sculpt!U14&lt;DSCR_Default_PF,1,0),0)</f>
        <v>0</v>
      </c>
      <c r="V13" s="33">
        <f>IF(Debt_Sculpt!V12=1,IF(CFADS!V7/Debt_Sculpt!V14&lt;DSCR_Default_PF,1,0),0)</f>
        <v>0</v>
      </c>
      <c r="W13" s="33">
        <f>IF(Debt_Sculpt!W12=1,IF(CFADS!W7/Debt_Sculpt!W14&lt;DSCR_Default_PF,1,0),0)</f>
        <v>0</v>
      </c>
      <c r="X13" s="33">
        <f>IF(Debt_Sculpt!X12=1,IF(CFADS!X7/Debt_Sculpt!X14&lt;DSCR_Default_PF,1,0),0)</f>
        <v>0</v>
      </c>
      <c r="Y13" s="33">
        <f>IF(Debt_Sculpt!Y12=1,IF(CFADS!Y7/Debt_Sculpt!Y14&lt;DSCR_Default_PF,1,0),0)</f>
        <v>0</v>
      </c>
      <c r="Z13" s="33">
        <f>IF(Debt_Sculpt!Z12=1,IF(CFADS!Z7/Debt_Sculpt!Z14&lt;DSCR_Default_PF,1,0),0)</f>
        <v>0</v>
      </c>
      <c r="AA13" s="33">
        <f>IF(Debt_Sculpt!AA12=1,IF(CFADS!AA7/Debt_Sculpt!AA14&lt;DSCR_Default_PF,1,0),0)</f>
        <v>0</v>
      </c>
      <c r="AB13" s="33">
        <f>IF(Debt_Sculpt!AB12=1,IF(CFADS!AB7/Debt_Sculpt!AB14&lt;DSCR_Default_PF,1,0),0)</f>
        <v>0</v>
      </c>
      <c r="AC13" s="33">
        <f>IF(Debt_Sculpt!AC12=1,IF(CFADS!AC7/Debt_Sculpt!AC14&lt;DSCR_Default_PF,1,0),0)</f>
        <v>0</v>
      </c>
      <c r="AD13" s="33">
        <f>IF(Debt_Sculpt!AD12=1,IF(CFADS!AD7/Debt_Sculpt!AD14&lt;DSCR_Default_PF,1,0),0)</f>
        <v>0</v>
      </c>
      <c r="AE13" s="33">
        <f>IF(Debt_Sculpt!AE12=1,IF(CFADS!AE7/Debt_Sculpt!AE14&lt;DSCR_Default_PF,1,0),0)</f>
        <v>0</v>
      </c>
      <c r="AF13" s="33">
        <f>IF(Debt_Sculpt!AF12=1,IF(CFADS!AF7/Debt_Sculpt!AF14&lt;DSCR_Default_PF,1,0),0)</f>
        <v>0</v>
      </c>
      <c r="AG13" s="33">
        <f>IF(Debt_Sculpt!AG12=1,IF(CFADS!AG7/Debt_Sculpt!AG14&lt;DSCR_Default_PF,1,0),0)</f>
        <v>0</v>
      </c>
    </row>
    <row r="15" spans="1:33" x14ac:dyDescent="0.2">
      <c r="A15" s="11" t="s">
        <v>52</v>
      </c>
      <c r="B15" s="2" t="s">
        <v>53</v>
      </c>
      <c r="C15" s="43">
        <f>MIN(D5:AG5)</f>
        <v>1.3499999999999999</v>
      </c>
    </row>
    <row r="16" spans="1:33" x14ac:dyDescent="0.2">
      <c r="A16" s="11" t="s">
        <v>302</v>
      </c>
      <c r="B16" s="2" t="s">
        <v>53</v>
      </c>
      <c r="C16" s="43">
        <f>AVERAGE(D5:AG5)</f>
        <v>1.3500000000000005</v>
      </c>
    </row>
    <row r="17" spans="1:3" x14ac:dyDescent="0.2">
      <c r="A17" s="11" t="s">
        <v>54</v>
      </c>
      <c r="B17" s="2" t="s">
        <v>53</v>
      </c>
      <c r="C17" s="43">
        <f>MIN(D6:AG6)</f>
        <v>1.2000632272820222</v>
      </c>
    </row>
    <row r="18" spans="1:3" x14ac:dyDescent="0.2">
      <c r="A18" s="11" t="s">
        <v>303</v>
      </c>
      <c r="B18" s="2" t="s">
        <v>53</v>
      </c>
      <c r="C18" s="43">
        <f>AVERAGE(D6:AG6)</f>
        <v>1.2515823006818954</v>
      </c>
    </row>
    <row r="19" spans="1:3" x14ac:dyDescent="0.2">
      <c r="A19" s="11" t="s">
        <v>304</v>
      </c>
      <c r="B19" s="2" t="s">
        <v>53</v>
      </c>
      <c r="C19" s="43">
        <f>MIN(D7:AG7)</f>
        <v>1.3499999999999999</v>
      </c>
    </row>
    <row r="20" spans="1:3" x14ac:dyDescent="0.2">
      <c r="A20" s="11" t="s">
        <v>305</v>
      </c>
      <c r="B20" s="2" t="s">
        <v>53</v>
      </c>
      <c r="C20" s="43">
        <f>AVERAGE(D7:AG7)</f>
        <v>1.3500000000000005</v>
      </c>
    </row>
    <row r="21" spans="1:3" x14ac:dyDescent="0.2">
      <c r="A21" s="11" t="s">
        <v>306</v>
      </c>
      <c r="B21" s="2" t="s">
        <v>53</v>
      </c>
      <c r="C21" s="42">
        <f>NPV(Rate,D8:AG8)/Debt</f>
        <v>1.3499999999999999</v>
      </c>
    </row>
    <row r="22" spans="1:3" x14ac:dyDescent="0.2">
      <c r="A22" s="11" t="s">
        <v>307</v>
      </c>
      <c r="B22" s="2" t="s">
        <v>53</v>
      </c>
      <c r="C22" s="42">
        <f>NPV(Rate,CFADS!D5:AG5)/Debt</f>
        <v>1.4601346066958907</v>
      </c>
    </row>
    <row r="23" spans="1:3" x14ac:dyDescent="0.2">
      <c r="A23" s="11" t="s">
        <v>308</v>
      </c>
      <c r="B23" s="2" t="s">
        <v>53</v>
      </c>
      <c r="C23" s="42">
        <f>NPV(Rate,D9:AG9)/Debt</f>
        <v>1.3499999999999999</v>
      </c>
    </row>
    <row r="24" spans="1:3" x14ac:dyDescent="0.2">
      <c r="A24" s="11" t="s">
        <v>309</v>
      </c>
      <c r="B24" s="2" t="s">
        <v>92</v>
      </c>
      <c r="C24" s="44">
        <f>SUM(D12:AG12)</f>
        <v>0</v>
      </c>
    </row>
    <row r="25" spans="1:3" x14ac:dyDescent="0.2">
      <c r="A25" s="11" t="s">
        <v>310</v>
      </c>
      <c r="B25" s="2" t="s">
        <v>92</v>
      </c>
      <c r="C25" s="44">
        <f>SUM(D13:AG13)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3" ht="18" x14ac:dyDescent="0.2">
      <c r="A1" s="9" t="s">
        <v>36</v>
      </c>
    </row>
    <row r="2" spans="1:33" x14ac:dyDescent="0.2">
      <c r="A2" s="2" t="s">
        <v>311</v>
      </c>
    </row>
    <row r="4" spans="1:33" x14ac:dyDescent="0.2">
      <c r="A4" s="30" t="s">
        <v>243</v>
      </c>
      <c r="B4" s="30" t="s">
        <v>71</v>
      </c>
      <c r="C4" s="31"/>
      <c r="D4" s="31">
        <v>1</v>
      </c>
      <c r="E4" s="31">
        <f t="shared" ref="E4:AG4" si="0">D4+1</f>
        <v>2</v>
      </c>
      <c r="F4" s="31">
        <f t="shared" si="0"/>
        <v>3</v>
      </c>
      <c r="G4" s="31">
        <f t="shared" si="0"/>
        <v>4</v>
      </c>
      <c r="H4" s="31">
        <f t="shared" si="0"/>
        <v>5</v>
      </c>
      <c r="I4" s="31">
        <f t="shared" si="0"/>
        <v>6</v>
      </c>
      <c r="J4" s="31">
        <f t="shared" si="0"/>
        <v>7</v>
      </c>
      <c r="K4" s="31">
        <f t="shared" si="0"/>
        <v>8</v>
      </c>
      <c r="L4" s="31">
        <f t="shared" si="0"/>
        <v>9</v>
      </c>
      <c r="M4" s="31">
        <f t="shared" si="0"/>
        <v>10</v>
      </c>
      <c r="N4" s="31">
        <f t="shared" si="0"/>
        <v>11</v>
      </c>
      <c r="O4" s="31">
        <f t="shared" si="0"/>
        <v>12</v>
      </c>
      <c r="P4" s="31">
        <f t="shared" si="0"/>
        <v>13</v>
      </c>
      <c r="Q4" s="31">
        <f t="shared" si="0"/>
        <v>14</v>
      </c>
      <c r="R4" s="31">
        <f t="shared" si="0"/>
        <v>15</v>
      </c>
      <c r="S4" s="31">
        <f t="shared" si="0"/>
        <v>16</v>
      </c>
      <c r="T4" s="31">
        <f t="shared" si="0"/>
        <v>17</v>
      </c>
      <c r="U4" s="31">
        <f t="shared" si="0"/>
        <v>18</v>
      </c>
      <c r="V4" s="31">
        <f t="shared" si="0"/>
        <v>19</v>
      </c>
      <c r="W4" s="31">
        <f t="shared" si="0"/>
        <v>20</v>
      </c>
      <c r="X4" s="31">
        <f t="shared" si="0"/>
        <v>21</v>
      </c>
      <c r="Y4" s="31">
        <f t="shared" si="0"/>
        <v>22</v>
      </c>
      <c r="Z4" s="31">
        <f t="shared" si="0"/>
        <v>23</v>
      </c>
      <c r="AA4" s="31">
        <f t="shared" si="0"/>
        <v>24</v>
      </c>
      <c r="AB4" s="30">
        <f t="shared" si="0"/>
        <v>25</v>
      </c>
      <c r="AC4" s="31">
        <f t="shared" si="0"/>
        <v>26</v>
      </c>
      <c r="AD4" s="31">
        <f t="shared" si="0"/>
        <v>27</v>
      </c>
      <c r="AE4" s="31">
        <f t="shared" si="0"/>
        <v>28</v>
      </c>
      <c r="AF4" s="31">
        <f t="shared" si="0"/>
        <v>29</v>
      </c>
      <c r="AG4" s="31">
        <f t="shared" si="0"/>
        <v>30</v>
      </c>
    </row>
    <row r="5" spans="1:33" x14ac:dyDescent="0.2">
      <c r="A5" s="11" t="s">
        <v>312</v>
      </c>
      <c r="B5" s="2" t="s">
        <v>45</v>
      </c>
      <c r="C5" s="28">
        <f>Project_Capex-ITC_Basis_Reduction*(ITC_PV*PV_Capex+ITC_BESS*BESS_Capex)</f>
        <v>364544000</v>
      </c>
    </row>
    <row r="7" spans="1:33" x14ac:dyDescent="0.2">
      <c r="A7" t="s">
        <v>313</v>
      </c>
      <c r="B7" s="2" t="s">
        <v>45</v>
      </c>
      <c r="D7" s="28">
        <f t="shared" ref="D7:AG7" si="1">IF(D4&lt;=COUNT(MACRS_Table),Dep_Basis*INDEX(MACRS_Table,D4),0)</f>
        <v>72908800</v>
      </c>
      <c r="E7" s="28">
        <f t="shared" si="1"/>
        <v>116654080</v>
      </c>
      <c r="F7" s="28">
        <f t="shared" si="1"/>
        <v>69992448</v>
      </c>
      <c r="G7" s="28">
        <f t="shared" si="1"/>
        <v>41995468.799999997</v>
      </c>
      <c r="H7" s="28">
        <f t="shared" si="1"/>
        <v>41995468.799999997</v>
      </c>
      <c r="I7" s="28">
        <f t="shared" si="1"/>
        <v>20997734.399999999</v>
      </c>
      <c r="J7" s="28">
        <f t="shared" si="1"/>
        <v>0</v>
      </c>
      <c r="K7" s="28">
        <f t="shared" si="1"/>
        <v>0</v>
      </c>
      <c r="L7" s="28">
        <f t="shared" si="1"/>
        <v>0</v>
      </c>
      <c r="M7" s="28">
        <f t="shared" si="1"/>
        <v>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1"/>
        <v>0</v>
      </c>
      <c r="S7" s="28">
        <f t="shared" si="1"/>
        <v>0</v>
      </c>
      <c r="T7" s="28">
        <f t="shared" si="1"/>
        <v>0</v>
      </c>
      <c r="U7" s="28">
        <f t="shared" si="1"/>
        <v>0</v>
      </c>
      <c r="V7" s="28">
        <f t="shared" si="1"/>
        <v>0</v>
      </c>
      <c r="W7" s="28">
        <f t="shared" si="1"/>
        <v>0</v>
      </c>
      <c r="X7" s="28">
        <f t="shared" si="1"/>
        <v>0</v>
      </c>
      <c r="Y7" s="28">
        <f t="shared" si="1"/>
        <v>0</v>
      </c>
      <c r="Z7" s="28">
        <f t="shared" si="1"/>
        <v>0</v>
      </c>
      <c r="AA7" s="28">
        <f t="shared" si="1"/>
        <v>0</v>
      </c>
      <c r="AB7" s="28">
        <f t="shared" si="1"/>
        <v>0</v>
      </c>
      <c r="AC7" s="28">
        <f t="shared" si="1"/>
        <v>0</v>
      </c>
      <c r="AD7" s="28">
        <f t="shared" si="1"/>
        <v>0</v>
      </c>
      <c r="AE7" s="28">
        <f t="shared" si="1"/>
        <v>0</v>
      </c>
      <c r="AF7" s="28">
        <f t="shared" si="1"/>
        <v>0</v>
      </c>
      <c r="AG7" s="28">
        <f t="shared" si="1"/>
        <v>0</v>
      </c>
    </row>
    <row r="8" spans="1:33" x14ac:dyDescent="0.2">
      <c r="A8" t="s">
        <v>314</v>
      </c>
      <c r="B8" s="2" t="s">
        <v>45</v>
      </c>
      <c r="D8" s="28">
        <f>CFADS!D7-Debt_Sculpt!D16-D7</f>
        <v>-54918487.619405426</v>
      </c>
      <c r="E8" s="28">
        <f>CFADS!E7-Debt_Sculpt!E16-E7</f>
        <v>-98412750.282833025</v>
      </c>
      <c r="F8" s="28">
        <f>CFADS!F7-Debt_Sculpt!F16-F7</f>
        <v>-51479275.301688246</v>
      </c>
      <c r="G8" s="28">
        <f>CFADS!G7-Debt_Sculpt!G16-G7</f>
        <v>-23188247.345996715</v>
      </c>
      <c r="H8" s="28">
        <f>CFADS!H7-Debt_Sculpt!H16-H7</f>
        <v>-22870517.289669171</v>
      </c>
      <c r="I8" s="28">
        <f>CFADS!I7-Debt_Sculpt!I16-I7</f>
        <v>-1529793.9949622415</v>
      </c>
      <c r="J8" s="28">
        <f>CFADS!J7-Debt_Sculpt!J16-J7</f>
        <v>19837874.762954082</v>
      </c>
      <c r="K8" s="28">
        <f>CFADS!K7-Debt_Sculpt!K16-K7</f>
        <v>20236557.863316849</v>
      </c>
      <c r="L8" s="28">
        <f>CFADS!L7-Debt_Sculpt!L16-L7</f>
        <v>20665917.733199254</v>
      </c>
      <c r="M8" s="28">
        <f>CFADS!M7-Debt_Sculpt!M16-M7</f>
        <v>21128015.803651031</v>
      </c>
      <c r="N8" s="28">
        <f>CFADS!N7-Debt_Sculpt!N16-N7</f>
        <v>21625056.167699542</v>
      </c>
      <c r="O8" s="28">
        <f>CFADS!O7-Debt_Sculpt!O16-O7</f>
        <v>22159395.482085519</v>
      </c>
      <c r="P8" s="28">
        <f>CFADS!P7-Debt_Sculpt!P16-P7</f>
        <v>22733553.557521664</v>
      </c>
      <c r="Q8" s="28">
        <f>CFADS!Q7-Debt_Sculpt!Q16-Q7</f>
        <v>23350224.68537882</v>
      </c>
      <c r="R8" s="28">
        <f>CFADS!R7-Debt_Sculpt!R16-R7</f>
        <v>24012289.752038375</v>
      </c>
      <c r="S8" s="28">
        <f>CFADS!S7-Debt_Sculpt!S16-S7</f>
        <v>15160145.071819182</v>
      </c>
      <c r="T8" s="28">
        <f>CFADS!T7-Debt_Sculpt!T16-T7</f>
        <v>15550376.144767907</v>
      </c>
      <c r="U8" s="28">
        <f>CFADS!U7-Debt_Sculpt!U16-U7</f>
        <v>15970842.146523673</v>
      </c>
      <c r="V8" s="28">
        <f>CFADS!V7-Debt_Sculpt!V16-V7</f>
        <v>16423586.415232565</v>
      </c>
      <c r="W8" s="28">
        <f>CFADS!W7-Debt_Sculpt!W16-W7</f>
        <v>16064066.823389553</v>
      </c>
      <c r="X8" s="28">
        <f>CFADS!X7-Debt_Sculpt!X16-X7</f>
        <v>8564560.6922746059</v>
      </c>
      <c r="Y8" s="28">
        <f>CFADS!Y7-Debt_Sculpt!Y16-Y7</f>
        <v>8577226.2052101381</v>
      </c>
      <c r="Z8" s="28">
        <f>CFADS!Z7-Debt_Sculpt!Z16-Z7</f>
        <v>8587617.7282028459</v>
      </c>
      <c r="AA8" s="28">
        <f>CFADS!AA7-Debt_Sculpt!AA16-AA7</f>
        <v>8595645.0960310809</v>
      </c>
      <c r="AB8" s="28">
        <f>CFADS!AB7-Debt_Sculpt!AB16-AB7</f>
        <v>8601215.460905673</v>
      </c>
      <c r="AC8" s="28">
        <f>CFADS!AC7-Debt_Sculpt!AC16-AC7</f>
        <v>8604233.2198960464</v>
      </c>
      <c r="AD8" s="28">
        <f>CFADS!AD7-Debt_Sculpt!AD16-AD7</f>
        <v>8604599.9404711202</v>
      </c>
      <c r="AE8" s="28">
        <f>CFADS!AE7-Debt_Sculpt!AE16-AE7</f>
        <v>8602214.2841069587</v>
      </c>
      <c r="AF8" s="28">
        <f>CFADS!AF7-Debt_Sculpt!AF16-AF7</f>
        <v>8596971.9279119968</v>
      </c>
      <c r="AG8" s="28">
        <f>CFADS!AG7-Debt_Sculpt!AG16-AG7</f>
        <v>8588765.4842191488</v>
      </c>
    </row>
    <row r="9" spans="1:33" x14ac:dyDescent="0.2">
      <c r="A9" t="s">
        <v>315</v>
      </c>
      <c r="B9" s="2" t="s">
        <v>45</v>
      </c>
      <c r="D9" s="28">
        <f t="shared" ref="D9:AG9" si="2">Tax_Rate*D8</f>
        <v>-11532882.400075139</v>
      </c>
      <c r="E9" s="28">
        <f t="shared" si="2"/>
        <v>-20666677.559394933</v>
      </c>
      <c r="F9" s="28">
        <f t="shared" si="2"/>
        <v>-10810647.813354531</v>
      </c>
      <c r="G9" s="28">
        <f t="shared" si="2"/>
        <v>-4869531.9426593101</v>
      </c>
      <c r="H9" s="28">
        <f t="shared" si="2"/>
        <v>-4802808.6308305254</v>
      </c>
      <c r="I9" s="28">
        <f t="shared" si="2"/>
        <v>-321256.73894207069</v>
      </c>
      <c r="J9" s="28">
        <f t="shared" si="2"/>
        <v>4165953.7002203572</v>
      </c>
      <c r="K9" s="28">
        <f t="shared" si="2"/>
        <v>4249677.1512965383</v>
      </c>
      <c r="L9" s="28">
        <f t="shared" si="2"/>
        <v>4339842.7239718428</v>
      </c>
      <c r="M9" s="28">
        <f t="shared" si="2"/>
        <v>4436883.3187667159</v>
      </c>
      <c r="N9" s="28">
        <f t="shared" si="2"/>
        <v>4541261.795216904</v>
      </c>
      <c r="O9" s="28">
        <f t="shared" si="2"/>
        <v>4653473.0512379585</v>
      </c>
      <c r="P9" s="28">
        <f t="shared" si="2"/>
        <v>4774046.2470795494</v>
      </c>
      <c r="Q9" s="28">
        <f t="shared" si="2"/>
        <v>4903547.1839295523</v>
      </c>
      <c r="R9" s="28">
        <f t="shared" si="2"/>
        <v>5042580.8479280584</v>
      </c>
      <c r="S9" s="28">
        <f t="shared" si="2"/>
        <v>3183630.4650820284</v>
      </c>
      <c r="T9" s="28">
        <f t="shared" si="2"/>
        <v>3265578.9904012601</v>
      </c>
      <c r="U9" s="28">
        <f t="shared" si="2"/>
        <v>3353876.850769971</v>
      </c>
      <c r="V9" s="28">
        <f t="shared" si="2"/>
        <v>3448953.1471988386</v>
      </c>
      <c r="W9" s="28">
        <f t="shared" si="2"/>
        <v>3373454.0329118059</v>
      </c>
      <c r="X9" s="28">
        <f t="shared" si="2"/>
        <v>1798557.7453776672</v>
      </c>
      <c r="Y9" s="28">
        <f t="shared" si="2"/>
        <v>1801217.503094129</v>
      </c>
      <c r="Z9" s="28">
        <f t="shared" si="2"/>
        <v>1803399.7229225975</v>
      </c>
      <c r="AA9" s="28">
        <f t="shared" si="2"/>
        <v>1805085.470166527</v>
      </c>
      <c r="AB9" s="28">
        <f t="shared" si="2"/>
        <v>1806255.2467901912</v>
      </c>
      <c r="AC9" s="28">
        <f t="shared" si="2"/>
        <v>1806888.9761781697</v>
      </c>
      <c r="AD9" s="28">
        <f t="shared" si="2"/>
        <v>1806965.9874989351</v>
      </c>
      <c r="AE9" s="28">
        <f t="shared" si="2"/>
        <v>1806464.9996624612</v>
      </c>
      <c r="AF9" s="28">
        <f t="shared" si="2"/>
        <v>1805364.1048615193</v>
      </c>
      <c r="AG9" s="28">
        <f t="shared" si="2"/>
        <v>1803640.7516860212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5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3" ht="18" x14ac:dyDescent="0.2">
      <c r="A1" s="9" t="s">
        <v>38</v>
      </c>
    </row>
    <row r="2" spans="1:33" x14ac:dyDescent="0.2">
      <c r="A2" s="2" t="s">
        <v>316</v>
      </c>
    </row>
    <row r="4" spans="1:33" x14ac:dyDescent="0.2">
      <c r="A4" s="30" t="s">
        <v>243</v>
      </c>
      <c r="B4" s="30" t="s">
        <v>71</v>
      </c>
      <c r="C4" s="31">
        <v>0</v>
      </c>
      <c r="D4" s="31">
        <v>1</v>
      </c>
      <c r="E4" s="31">
        <f t="shared" ref="E4:AG4" si="0">D4+1</f>
        <v>2</v>
      </c>
      <c r="F4" s="31">
        <f t="shared" si="0"/>
        <v>3</v>
      </c>
      <c r="G4" s="31">
        <f t="shared" si="0"/>
        <v>4</v>
      </c>
      <c r="H4" s="31">
        <f t="shared" si="0"/>
        <v>5</v>
      </c>
      <c r="I4" s="31">
        <f t="shared" si="0"/>
        <v>6</v>
      </c>
      <c r="J4" s="31">
        <f t="shared" si="0"/>
        <v>7</v>
      </c>
      <c r="K4" s="31">
        <f t="shared" si="0"/>
        <v>8</v>
      </c>
      <c r="L4" s="31">
        <f t="shared" si="0"/>
        <v>9</v>
      </c>
      <c r="M4" s="31">
        <f t="shared" si="0"/>
        <v>10</v>
      </c>
      <c r="N4" s="31">
        <f t="shared" si="0"/>
        <v>11</v>
      </c>
      <c r="O4" s="31">
        <f t="shared" si="0"/>
        <v>12</v>
      </c>
      <c r="P4" s="31">
        <f t="shared" si="0"/>
        <v>13</v>
      </c>
      <c r="Q4" s="31">
        <f t="shared" si="0"/>
        <v>14</v>
      </c>
      <c r="R4" s="31">
        <f t="shared" si="0"/>
        <v>15</v>
      </c>
      <c r="S4" s="31">
        <f t="shared" si="0"/>
        <v>16</v>
      </c>
      <c r="T4" s="31">
        <f t="shared" si="0"/>
        <v>17</v>
      </c>
      <c r="U4" s="31">
        <f t="shared" si="0"/>
        <v>18</v>
      </c>
      <c r="V4" s="31">
        <f t="shared" si="0"/>
        <v>19</v>
      </c>
      <c r="W4" s="31">
        <f t="shared" si="0"/>
        <v>20</v>
      </c>
      <c r="X4" s="31">
        <f t="shared" si="0"/>
        <v>21</v>
      </c>
      <c r="Y4" s="31">
        <f t="shared" si="0"/>
        <v>22</v>
      </c>
      <c r="Z4" s="31">
        <f t="shared" si="0"/>
        <v>23</v>
      </c>
      <c r="AA4" s="31">
        <f t="shared" si="0"/>
        <v>24</v>
      </c>
      <c r="AB4" s="30">
        <f t="shared" si="0"/>
        <v>25</v>
      </c>
      <c r="AC4" s="31">
        <f t="shared" si="0"/>
        <v>26</v>
      </c>
      <c r="AD4" s="31">
        <f t="shared" si="0"/>
        <v>27</v>
      </c>
      <c r="AE4" s="31">
        <f t="shared" si="0"/>
        <v>28</v>
      </c>
      <c r="AF4" s="31">
        <f t="shared" si="0"/>
        <v>29</v>
      </c>
      <c r="AG4" s="31">
        <f t="shared" si="0"/>
        <v>30</v>
      </c>
    </row>
    <row r="5" spans="1:33" x14ac:dyDescent="0.2">
      <c r="A5" t="s">
        <v>317</v>
      </c>
      <c r="B5" s="2" t="s">
        <v>45</v>
      </c>
      <c r="D5" s="28">
        <f t="shared" ref="D5:AG5" si="1">IF(D4=Tenor,DSRA,0)</f>
        <v>0</v>
      </c>
      <c r="E5" s="28">
        <f t="shared" si="1"/>
        <v>0</v>
      </c>
      <c r="F5" s="28">
        <f t="shared" si="1"/>
        <v>0</v>
      </c>
      <c r="G5" s="28">
        <f t="shared" si="1"/>
        <v>0</v>
      </c>
      <c r="H5" s="28">
        <f t="shared" si="1"/>
        <v>0</v>
      </c>
      <c r="I5" s="28">
        <f t="shared" si="1"/>
        <v>0</v>
      </c>
      <c r="J5" s="28">
        <f t="shared" si="1"/>
        <v>0</v>
      </c>
      <c r="K5" s="28">
        <f t="shared" si="1"/>
        <v>0</v>
      </c>
      <c r="L5" s="28">
        <f t="shared" si="1"/>
        <v>0</v>
      </c>
      <c r="M5" s="28">
        <f t="shared" si="1"/>
        <v>0</v>
      </c>
      <c r="N5" s="28">
        <f t="shared" si="1"/>
        <v>0</v>
      </c>
      <c r="O5" s="28">
        <f t="shared" si="1"/>
        <v>0</v>
      </c>
      <c r="P5" s="28">
        <f t="shared" si="1"/>
        <v>0</v>
      </c>
      <c r="Q5" s="28">
        <f t="shared" si="1"/>
        <v>0</v>
      </c>
      <c r="R5" s="28">
        <f t="shared" si="1"/>
        <v>0</v>
      </c>
      <c r="S5" s="28">
        <f t="shared" si="1"/>
        <v>0</v>
      </c>
      <c r="T5" s="28">
        <f t="shared" si="1"/>
        <v>0</v>
      </c>
      <c r="U5" s="28">
        <f t="shared" si="1"/>
        <v>12396160.974814814</v>
      </c>
      <c r="V5" s="28">
        <f t="shared" si="1"/>
        <v>0</v>
      </c>
      <c r="W5" s="28">
        <f t="shared" si="1"/>
        <v>0</v>
      </c>
      <c r="X5" s="28">
        <f t="shared" si="1"/>
        <v>0</v>
      </c>
      <c r="Y5" s="28">
        <f t="shared" si="1"/>
        <v>0</v>
      </c>
      <c r="Z5" s="28">
        <f t="shared" si="1"/>
        <v>0</v>
      </c>
      <c r="AA5" s="28">
        <f t="shared" si="1"/>
        <v>0</v>
      </c>
      <c r="AB5" s="28">
        <f t="shared" si="1"/>
        <v>0</v>
      </c>
      <c r="AC5" s="28">
        <f t="shared" si="1"/>
        <v>0</v>
      </c>
      <c r="AD5" s="28">
        <f t="shared" si="1"/>
        <v>0</v>
      </c>
      <c r="AE5" s="28">
        <f t="shared" si="1"/>
        <v>0</v>
      </c>
      <c r="AF5" s="28">
        <f t="shared" si="1"/>
        <v>0</v>
      </c>
      <c r="AG5" s="28">
        <f t="shared" si="1"/>
        <v>0</v>
      </c>
    </row>
    <row r="7" spans="1:33" x14ac:dyDescent="0.2">
      <c r="A7" t="s">
        <v>318</v>
      </c>
      <c r="B7" s="2" t="s">
        <v>45</v>
      </c>
      <c r="C7" s="5">
        <f>-Project_Capex+ITC_Proceeds</f>
        <v>-312934400</v>
      </c>
      <c r="D7" s="28">
        <f>CFADS!D7</f>
        <v>33469634.631999999</v>
      </c>
      <c r="E7" s="28">
        <f>CFADS!E7</f>
        <v>33072467.189576</v>
      </c>
      <c r="F7" s="28">
        <f>CFADS!F7</f>
        <v>32671487.919248968</v>
      </c>
      <c r="G7" s="28">
        <f>CFADS!G7</f>
        <v>32266558.703814223</v>
      </c>
      <c r="H7" s="28">
        <f>CFADS!H7</f>
        <v>31857538.27288752</v>
      </c>
      <c r="I7" s="28">
        <f>CFADS!I7</f>
        <v>31444282.121977311</v>
      </c>
      <c r="J7" s="28">
        <f>CFADS!J7</f>
        <v>31026642.429548465</v>
      </c>
      <c r="K7" s="28">
        <f>CFADS!K7</f>
        <v>30604467.972027257</v>
      </c>
      <c r="L7" s="28">
        <f>CFADS!L7</f>
        <v>30177604.036695834</v>
      </c>
      <c r="M7" s="28">
        <f>CFADS!M7</f>
        <v>29745892.332423542</v>
      </c>
      <c r="N7" s="28">
        <f>CFADS!N7</f>
        <v>29309170.898180783</v>
      </c>
      <c r="O7" s="28">
        <f>CFADS!O7</f>
        <v>28867274.009279825</v>
      </c>
      <c r="P7" s="28">
        <f>CFADS!P7</f>
        <v>28420032.081285819</v>
      </c>
      <c r="Q7" s="28">
        <f>CFADS!Q7</f>
        <v>27967271.571539558</v>
      </c>
      <c r="R7" s="28">
        <f>CFADS!R7</f>
        <v>27508814.878232084</v>
      </c>
      <c r="S7" s="28">
        <f>CFADS!S7</f>
        <v>17481796.113073789</v>
      </c>
      <c r="T7" s="28">
        <f>CFADS!T7</f>
        <v>17132330.387775362</v>
      </c>
      <c r="U7" s="28">
        <f>CFADS!U7</f>
        <v>16779633.593741361</v>
      </c>
      <c r="V7" s="28">
        <f>CFADS!V7</f>
        <v>16423586.415232606</v>
      </c>
      <c r="W7" s="28">
        <f>CFADS!W7</f>
        <v>16064066.823389595</v>
      </c>
      <c r="X7" s="28">
        <f>CFADS!X7</f>
        <v>8564560.6922746524</v>
      </c>
      <c r="Y7" s="28">
        <f>CFADS!Y7</f>
        <v>8577226.2052101884</v>
      </c>
      <c r="Z7" s="28">
        <f>CFADS!Z7</f>
        <v>8587617.7282028999</v>
      </c>
      <c r="AA7" s="28">
        <f>CFADS!AA7</f>
        <v>8595645.0960311368</v>
      </c>
      <c r="AB7" s="28">
        <f>CFADS!AB7</f>
        <v>8601215.4609057344</v>
      </c>
      <c r="AC7" s="28">
        <f>CFADS!AC7</f>
        <v>8604233.2198961116</v>
      </c>
      <c r="AD7" s="28">
        <f>CFADS!AD7</f>
        <v>8604599.9404711891</v>
      </c>
      <c r="AE7" s="28">
        <f>CFADS!AE7</f>
        <v>8602214.2841070332</v>
      </c>
      <c r="AF7" s="28">
        <f>CFADS!AF7</f>
        <v>8596971.9279120769</v>
      </c>
      <c r="AG7" s="28">
        <f>CFADS!AG7</f>
        <v>8588765.4842192344</v>
      </c>
    </row>
    <row r="8" spans="1:33" x14ac:dyDescent="0.2">
      <c r="A8" t="s">
        <v>319</v>
      </c>
      <c r="B8" s="2" t="s">
        <v>45</v>
      </c>
      <c r="C8" s="5">
        <f>-Equity</f>
        <v>-114002227.59427696</v>
      </c>
      <c r="D8" s="28">
        <f>CFADS!D7-Debt_Sculpt!D14+D5</f>
        <v>8677312.6823703721</v>
      </c>
      <c r="E8" s="28">
        <f>CFADS!E7-Debt_Sculpt!E14+E5</f>
        <v>8574343.3454456329</v>
      </c>
      <c r="F8" s="28">
        <f>CFADS!F7-Debt_Sculpt!F14+F5</f>
        <v>8470385.7568423264</v>
      </c>
      <c r="G8" s="28">
        <f>CFADS!G7-Debt_Sculpt!G14+G5</f>
        <v>8365404.1083962806</v>
      </c>
      <c r="H8" s="28">
        <f>CFADS!H7-Debt_Sculpt!H14+H5</f>
        <v>8259361.7744523212</v>
      </c>
      <c r="I8" s="28">
        <f>CFADS!I7-Debt_Sculpt!I14+I5</f>
        <v>8152221.2908830084</v>
      </c>
      <c r="J8" s="28">
        <f>CFADS!J7-Debt_Sculpt!J14+J5</f>
        <v>8043944.3335866407</v>
      </c>
      <c r="K8" s="28">
        <f>CFADS!K7-Debt_Sculpt!K14+K5</f>
        <v>7934491.6964515112</v>
      </c>
      <c r="L8" s="28">
        <f>CFADS!L7-Debt_Sculpt!L14+L5</f>
        <v>7823823.268772997</v>
      </c>
      <c r="M8" s="28">
        <f>CFADS!M7-Debt_Sculpt!M14+M5</f>
        <v>7711898.0121098086</v>
      </c>
      <c r="N8" s="28">
        <f>CFADS!N7-Debt_Sculpt!N14+N5</f>
        <v>7598673.936565388</v>
      </c>
      <c r="O8" s="28">
        <f>CFADS!O7-Debt_Sculpt!O14+O5</f>
        <v>7484108.0764799565</v>
      </c>
      <c r="P8" s="28">
        <f>CFADS!P7-Debt_Sculpt!P14+P5</f>
        <v>7368156.4655185454</v>
      </c>
      <c r="Q8" s="28">
        <f>CFADS!Q7-Debt_Sculpt!Q14+Q5</f>
        <v>7250774.1111398861</v>
      </c>
      <c r="R8" s="28">
        <f>CFADS!R7-Debt_Sculpt!R14+R5</f>
        <v>7131914.9684305415</v>
      </c>
      <c r="S8" s="28">
        <f>CFADS!S7-Debt_Sculpt!S14+S5</f>
        <v>4532317.5107969083</v>
      </c>
      <c r="T8" s="28">
        <f>CFADS!T7-Debt_Sculpt!T14+T5</f>
        <v>4441715.2857195381</v>
      </c>
      <c r="U8" s="28">
        <f>CFADS!U7-Debt_Sculpt!U14+U5</f>
        <v>16746436.350969981</v>
      </c>
      <c r="V8" s="28">
        <f>CFADS!V7-Debt_Sculpt!V14+V5</f>
        <v>16423586.415232606</v>
      </c>
      <c r="W8" s="28">
        <f>CFADS!W7-Debt_Sculpt!W14+W5</f>
        <v>16064066.823389595</v>
      </c>
      <c r="X8" s="28">
        <f>CFADS!X7-Debt_Sculpt!X14+X5</f>
        <v>8564560.6922746524</v>
      </c>
      <c r="Y8" s="28">
        <f>CFADS!Y7-Debt_Sculpt!Y14+Y5</f>
        <v>8577226.2052101884</v>
      </c>
      <c r="Z8" s="28">
        <f>CFADS!Z7-Debt_Sculpt!Z14+Z5</f>
        <v>8587617.7282028999</v>
      </c>
      <c r="AA8" s="28">
        <f>CFADS!AA7-Debt_Sculpt!AA14+AA5</f>
        <v>8595645.0960311368</v>
      </c>
      <c r="AB8" s="28">
        <f>CFADS!AB7-Debt_Sculpt!AB14+AB5</f>
        <v>8601215.4609057344</v>
      </c>
      <c r="AC8" s="28">
        <f>CFADS!AC7-Debt_Sculpt!AC14+AC5</f>
        <v>8604233.2198961116</v>
      </c>
      <c r="AD8" s="28">
        <f>CFADS!AD7-Debt_Sculpt!AD14+AD5</f>
        <v>8604599.9404711891</v>
      </c>
      <c r="AE8" s="28">
        <f>CFADS!AE7-Debt_Sculpt!AE14+AE5</f>
        <v>8602214.2841070332</v>
      </c>
      <c r="AF8" s="28">
        <f>CFADS!AF7-Debt_Sculpt!AF14+AF5</f>
        <v>8596971.9279120769</v>
      </c>
      <c r="AG8" s="28">
        <f>CFADS!AG7-Debt_Sculpt!AG14+AG5</f>
        <v>8588765.4842192344</v>
      </c>
    </row>
    <row r="9" spans="1:33" x14ac:dyDescent="0.2">
      <c r="A9" t="s">
        <v>320</v>
      </c>
      <c r="B9" s="2" t="s">
        <v>45</v>
      </c>
      <c r="C9" s="5">
        <f>C7</f>
        <v>-312934400</v>
      </c>
      <c r="D9" s="28">
        <f>CFADS!D7-Tax_Rate*(CFADS!D7-Tax!D7)</f>
        <v>41751859.359279998</v>
      </c>
      <c r="E9" s="28">
        <f>CFADS!E7-Tax_Rate*(CFADS!E7-Tax!E7)</f>
        <v>50624605.879765041</v>
      </c>
      <c r="F9" s="28">
        <f>CFADS!F7-Tax_Rate*(CFADS!F7-Tax!F7)</f>
        <v>40508889.536206685</v>
      </c>
      <c r="G9" s="28">
        <f>CFADS!G7-Tax_Rate*(CFADS!G7-Tax!G7)</f>
        <v>34309629.824013233</v>
      </c>
      <c r="H9" s="28">
        <f>CFADS!H7-Tax_Rate*(CFADS!H7-Tax!H7)</f>
        <v>33986503.683581144</v>
      </c>
      <c r="I9" s="28">
        <f>CFADS!I7-Tax_Rate*(CFADS!I7-Tax!I7)</f>
        <v>29250507.100362074</v>
      </c>
      <c r="J9" s="28">
        <f>CFADS!J7-Tax_Rate*(CFADS!J7-Tax!J7)</f>
        <v>24511047.519343287</v>
      </c>
      <c r="K9" s="28">
        <f>CFADS!K7-Tax_Rate*(CFADS!K7-Tax!K7)</f>
        <v>24177529.697901532</v>
      </c>
      <c r="L9" s="28">
        <f>CFADS!L7-Tax_Rate*(CFADS!L7-Tax!L7)</f>
        <v>23840307.18898971</v>
      </c>
      <c r="M9" s="28">
        <f>CFADS!M7-Tax_Rate*(CFADS!M7-Tax!M7)</f>
        <v>23499254.9426146</v>
      </c>
      <c r="N9" s="28">
        <f>CFADS!N7-Tax_Rate*(CFADS!N7-Tax!N7)</f>
        <v>23154245.00956282</v>
      </c>
      <c r="O9" s="28">
        <f>CFADS!O7-Tax_Rate*(CFADS!O7-Tax!O7)</f>
        <v>22805146.467331063</v>
      </c>
      <c r="P9" s="28">
        <f>CFADS!P7-Tax_Rate*(CFADS!P7-Tax!P7)</f>
        <v>22451825.344215795</v>
      </c>
      <c r="Q9" s="28">
        <f>CFADS!Q7-Tax_Rate*(CFADS!Q7-Tax!Q7)</f>
        <v>22094144.541516252</v>
      </c>
      <c r="R9" s="28">
        <f>CFADS!R7-Tax_Rate*(CFADS!R7-Tax!R7)</f>
        <v>21731963.753803346</v>
      </c>
      <c r="S9" s="28">
        <f>CFADS!S7-Tax_Rate*(CFADS!S7-Tax!S7)</f>
        <v>13810618.929328293</v>
      </c>
      <c r="T9" s="28">
        <f>CFADS!T7-Tax_Rate*(CFADS!T7-Tax!T7)</f>
        <v>13534541.006342536</v>
      </c>
      <c r="U9" s="28">
        <f>CFADS!U7-Tax_Rate*(CFADS!U7-Tax!U7)</f>
        <v>13255910.539055675</v>
      </c>
      <c r="V9" s="28">
        <f>CFADS!V7-Tax_Rate*(CFADS!V7-Tax!V7)</f>
        <v>12974633.26803376</v>
      </c>
      <c r="W9" s="28">
        <f>CFADS!W7-Tax_Rate*(CFADS!W7-Tax!W7)</f>
        <v>12690612.790477781</v>
      </c>
      <c r="X9" s="28">
        <f>CFADS!X7-Tax_Rate*(CFADS!X7-Tax!X7)</f>
        <v>6766002.9468969759</v>
      </c>
      <c r="Y9" s="28">
        <f>CFADS!Y7-Tax_Rate*(CFADS!Y7-Tax!Y7)</f>
        <v>6776008.7021160489</v>
      </c>
      <c r="Z9" s="28">
        <f>CFADS!Z7-Tax_Rate*(CFADS!Z7-Tax!Z7)</f>
        <v>6784218.0052802907</v>
      </c>
      <c r="AA9" s="28">
        <f>CFADS!AA7-Tax_Rate*(CFADS!AA7-Tax!AA7)</f>
        <v>6790559.625864598</v>
      </c>
      <c r="AB9" s="28">
        <f>CFADS!AB7-Tax_Rate*(CFADS!AB7-Tax!AB7)</f>
        <v>6794960.2141155303</v>
      </c>
      <c r="AC9" s="28">
        <f>CFADS!AC7-Tax_Rate*(CFADS!AC7-Tax!AC7)</f>
        <v>6797344.2437179284</v>
      </c>
      <c r="AD9" s="28">
        <f>CFADS!AD7-Tax_Rate*(CFADS!AD7-Tax!AD7)</f>
        <v>6797633.9529722389</v>
      </c>
      <c r="AE9" s="28">
        <f>CFADS!AE7-Tax_Rate*(CFADS!AE7-Tax!AE7)</f>
        <v>6795749.2844445566</v>
      </c>
      <c r="AF9" s="28">
        <f>CFADS!AF7-Tax_Rate*(CFADS!AF7-Tax!AF7)</f>
        <v>6791607.8230505409</v>
      </c>
      <c r="AG9" s="28">
        <f>CFADS!AG7-Tax_Rate*(CFADS!AG7-Tax!AG7)</f>
        <v>6785124.7325331951</v>
      </c>
    </row>
    <row r="10" spans="1:33" x14ac:dyDescent="0.2">
      <c r="A10" t="s">
        <v>321</v>
      </c>
      <c r="B10" s="2" t="s">
        <v>45</v>
      </c>
      <c r="C10" s="5">
        <f>C8</f>
        <v>-114002227.59427696</v>
      </c>
      <c r="D10" s="28">
        <f>D8-Tax!D9</f>
        <v>20210195.08244551</v>
      </c>
      <c r="E10" s="28">
        <f>E8-Tax!E9</f>
        <v>29241020.904840566</v>
      </c>
      <c r="F10" s="28">
        <f>F8-Tax!F9</f>
        <v>19281033.57019686</v>
      </c>
      <c r="G10" s="28">
        <f>G8-Tax!G9</f>
        <v>13234936.051055592</v>
      </c>
      <c r="H10" s="28">
        <f>H8-Tax!H9</f>
        <v>13062170.405282848</v>
      </c>
      <c r="I10" s="28">
        <f>I8-Tax!I9</f>
        <v>8473478.0298250783</v>
      </c>
      <c r="J10" s="28">
        <f>J8-Tax!J9</f>
        <v>3877990.6333662835</v>
      </c>
      <c r="K10" s="28">
        <f>K8-Tax!K9</f>
        <v>3684814.5451549729</v>
      </c>
      <c r="L10" s="28">
        <f>L8-Tax!L9</f>
        <v>3483980.5448011542</v>
      </c>
      <c r="M10" s="28">
        <f>M8-Tax!M9</f>
        <v>3275014.6933430927</v>
      </c>
      <c r="N10" s="28">
        <f>N8-Tax!N9</f>
        <v>3057412.141348484</v>
      </c>
      <c r="O10" s="28">
        <f>O8-Tax!O9</f>
        <v>2830635.025241998</v>
      </c>
      <c r="P10" s="28">
        <f>P8-Tax!P9</f>
        <v>2594110.218438996</v>
      </c>
      <c r="Q10" s="28">
        <f>Q8-Tax!Q9</f>
        <v>2347226.9272103338</v>
      </c>
      <c r="R10" s="28">
        <f>R8-Tax!R9</f>
        <v>2089334.1205024831</v>
      </c>
      <c r="S10" s="28">
        <f>S8-Tax!S9</f>
        <v>1348687.0457148799</v>
      </c>
      <c r="T10" s="28">
        <f>T8-Tax!T9</f>
        <v>1176136.295318278</v>
      </c>
      <c r="U10" s="28">
        <f>U8-Tax!U9</f>
        <v>13392559.500200011</v>
      </c>
      <c r="V10" s="28">
        <f>V8-Tax!V9</f>
        <v>12974633.268033767</v>
      </c>
      <c r="W10" s="28">
        <f>W8-Tax!W9</f>
        <v>12690612.79047779</v>
      </c>
      <c r="X10" s="28">
        <f>X8-Tax!X9</f>
        <v>6766002.9468969852</v>
      </c>
      <c r="Y10" s="28">
        <f>Y8-Tax!Y9</f>
        <v>6776008.7021160591</v>
      </c>
      <c r="Z10" s="28">
        <f>Z8-Tax!Z9</f>
        <v>6784218.0052803028</v>
      </c>
      <c r="AA10" s="28">
        <f>AA8-Tax!AA9</f>
        <v>6790559.6258646101</v>
      </c>
      <c r="AB10" s="28">
        <f>AB8-Tax!AB9</f>
        <v>6794960.2141155433</v>
      </c>
      <c r="AC10" s="28">
        <f>AC8-Tax!AC9</f>
        <v>6797344.2437179424</v>
      </c>
      <c r="AD10" s="28">
        <f>AD8-Tax!AD9</f>
        <v>6797633.9529722538</v>
      </c>
      <c r="AE10" s="28">
        <f>AE8-Tax!AE9</f>
        <v>6795749.2844445724</v>
      </c>
      <c r="AF10" s="28">
        <f>AF8-Tax!AF9</f>
        <v>6791607.8230505576</v>
      </c>
      <c r="AG10" s="28">
        <f>AG8-Tax!AG9</f>
        <v>6785124.7325332128</v>
      </c>
    </row>
    <row r="12" spans="1:33" x14ac:dyDescent="0.2">
      <c r="A12" s="11" t="s">
        <v>58</v>
      </c>
      <c r="B12" s="2" t="s">
        <v>48</v>
      </c>
      <c r="C12" s="45">
        <f>IFERROR(IRR(C7:AG7),"n/m")</f>
        <v>7.4437961197233005E-2</v>
      </c>
    </row>
    <row r="13" spans="1:33" x14ac:dyDescent="0.2">
      <c r="A13" s="11" t="s">
        <v>59</v>
      </c>
      <c r="B13" s="2" t="s">
        <v>48</v>
      </c>
      <c r="C13" s="45">
        <f>IFERROR(IRR(C8:AG8),"n/m")</f>
        <v>6.2792015908195609E-2</v>
      </c>
    </row>
    <row r="14" spans="1:33" x14ac:dyDescent="0.2">
      <c r="A14" s="11" t="s">
        <v>322</v>
      </c>
      <c r="B14" s="2" t="s">
        <v>48</v>
      </c>
      <c r="C14" s="45">
        <f>IFERROR(IRR(C9:AG9),"n/m")</f>
        <v>7.3088701258361422E-2</v>
      </c>
    </row>
    <row r="15" spans="1:33" x14ac:dyDescent="0.2">
      <c r="A15" s="3" t="s">
        <v>60</v>
      </c>
      <c r="B15" s="2" t="s">
        <v>48</v>
      </c>
      <c r="C15" s="46">
        <f>IFERROR(IRR(C10:AG10),"n/m")</f>
        <v>8.1350133555901039E-2</v>
      </c>
    </row>
    <row r="16" spans="1:33" x14ac:dyDescent="0.2">
      <c r="A16" s="11" t="s">
        <v>323</v>
      </c>
      <c r="B16" s="2" t="s">
        <v>53</v>
      </c>
      <c r="C16" s="42">
        <f>SUM(D8:AG8)/Equity</f>
        <v>2.3067793656514994</v>
      </c>
    </row>
    <row r="17" spans="1:33" x14ac:dyDescent="0.2">
      <c r="A17" s="11" t="s">
        <v>324</v>
      </c>
      <c r="B17" s="2" t="s">
        <v>45</v>
      </c>
      <c r="C17" s="34">
        <f>IF(ISNUMBER(Equity_IRR),NPV(Equity_IRR,D8:AG8)+C8,0)</f>
        <v>1.0430812835693359E-7</v>
      </c>
    </row>
    <row r="18" spans="1:33" x14ac:dyDescent="0.2">
      <c r="A18" s="11" t="s">
        <v>325</v>
      </c>
      <c r="B18" s="2" t="s">
        <v>45</v>
      </c>
      <c r="C18" s="34">
        <f>IF(ISNUMBER(Equity_IRR_AT),NPV(Equity_IRR_AT,D10:AG10)+C10,0)</f>
        <v>2.9802322387695312E-8</v>
      </c>
    </row>
    <row r="20" spans="1:33" x14ac:dyDescent="0.2">
      <c r="A20" s="25" t="s">
        <v>326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</row>
    <row r="21" spans="1:33" x14ac:dyDescent="0.2">
      <c r="A21" s="11" t="s">
        <v>61</v>
      </c>
      <c r="B21" s="2" t="s">
        <v>62</v>
      </c>
      <c r="C21" s="28">
        <f>Generation!D12</f>
        <v>535483.03200000001</v>
      </c>
    </row>
    <row r="22" spans="1:33" x14ac:dyDescent="0.2">
      <c r="A22" s="11" t="s">
        <v>63</v>
      </c>
      <c r="B22" s="2" t="s">
        <v>48</v>
      </c>
      <c r="C22" s="40">
        <f>Generation!D12/(PV_MWac*Hours_Per_Year)</f>
        <v>0.305641</v>
      </c>
    </row>
    <row r="23" spans="1:33" x14ac:dyDescent="0.2">
      <c r="A23" s="11" t="s">
        <v>327</v>
      </c>
      <c r="B23" s="2" t="s">
        <v>65</v>
      </c>
      <c r="C23" s="28">
        <f>Generation!D12*Grid_CO2e_lb_MWh/lb_per_t</f>
        <v>188070.73857517395</v>
      </c>
    </row>
    <row r="24" spans="1:33" x14ac:dyDescent="0.2">
      <c r="A24" s="11" t="s">
        <v>328</v>
      </c>
      <c r="B24" s="2" t="s">
        <v>65</v>
      </c>
      <c r="C24" s="28">
        <f>SUM(Generation!D12:AG12)*Grid_CO2e_lb_MWh/lb_per_t</f>
        <v>5105156.2190586254</v>
      </c>
    </row>
    <row r="25" spans="1:33" x14ac:dyDescent="0.2">
      <c r="A25" s="11" t="s">
        <v>329</v>
      </c>
      <c r="B25" s="2" t="s">
        <v>330</v>
      </c>
      <c r="C25" s="34">
        <f>Project_Capex/tCO2e_Avoided_Life</f>
        <v>83.441912788038067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1"/>
  <sheetViews>
    <sheetView showGridLines="0" workbookViewId="0"/>
  </sheetViews>
  <sheetFormatPr baseColWidth="10" defaultColWidth="8.83203125" defaultRowHeight="15" x14ac:dyDescent="0.2"/>
  <cols>
    <col min="1" max="1" width="46" customWidth="1"/>
    <col min="2" max="4" width="18" customWidth="1"/>
    <col min="5" max="5" width="30" customWidth="1"/>
  </cols>
  <sheetData>
    <row r="1" spans="1:2" x14ac:dyDescent="0.2">
      <c r="A1" s="3" t="s">
        <v>331</v>
      </c>
    </row>
    <row r="2" spans="1:2" x14ac:dyDescent="0.2">
      <c r="A2" s="2" t="s">
        <v>332</v>
      </c>
    </row>
    <row r="4" spans="1:2" x14ac:dyDescent="0.2">
      <c r="A4" s="3" t="s">
        <v>333</v>
      </c>
      <c r="B4" t="str">
        <f>CHOOSE(Case_Select,"Base","Downside","Severe")</f>
        <v>Base</v>
      </c>
    </row>
    <row r="5" spans="1:2" x14ac:dyDescent="0.2">
      <c r="A5" t="s">
        <v>46</v>
      </c>
      <c r="B5" s="5">
        <f>Debt</f>
        <v>222404055.33628488</v>
      </c>
    </row>
    <row r="6" spans="1:2" x14ac:dyDescent="0.2">
      <c r="A6" t="s">
        <v>334</v>
      </c>
      <c r="B6" s="8">
        <f>Min_DSCR_Op</f>
        <v>1.3499999999999999</v>
      </c>
    </row>
    <row r="7" spans="1:2" x14ac:dyDescent="0.2">
      <c r="A7" t="s">
        <v>335</v>
      </c>
      <c r="B7" s="8">
        <f>Avg_DSCR_Op</f>
        <v>1.3500000000000005</v>
      </c>
    </row>
    <row r="8" spans="1:2" x14ac:dyDescent="0.2">
      <c r="A8" t="s">
        <v>336</v>
      </c>
      <c r="B8" s="8">
        <f>LLCR_Op</f>
        <v>1.3499999999999999</v>
      </c>
    </row>
    <row r="9" spans="1:2" x14ac:dyDescent="0.2">
      <c r="A9" t="s">
        <v>337</v>
      </c>
      <c r="B9" s="47">
        <f>Lockup_Years</f>
        <v>0</v>
      </c>
    </row>
    <row r="10" spans="1:2" x14ac:dyDescent="0.2">
      <c r="A10" t="s">
        <v>338</v>
      </c>
      <c r="B10" s="47">
        <f>Default_Years</f>
        <v>0</v>
      </c>
    </row>
    <row r="11" spans="1:2" x14ac:dyDescent="0.2">
      <c r="A11" t="s">
        <v>50</v>
      </c>
      <c r="B11" s="5">
        <f>Equity</f>
        <v>114002227.59427696</v>
      </c>
    </row>
    <row r="12" spans="1:2" x14ac:dyDescent="0.2">
      <c r="A12" t="s">
        <v>59</v>
      </c>
      <c r="B12" s="7">
        <f>Equity_IRR</f>
        <v>6.2792015908195609E-2</v>
      </c>
    </row>
    <row r="13" spans="1:2" x14ac:dyDescent="0.2">
      <c r="A13" t="s">
        <v>60</v>
      </c>
      <c r="B13" s="7">
        <f>Equity_IRR_AT</f>
        <v>8.1350133555901039E-2</v>
      </c>
    </row>
    <row r="14" spans="1:2" x14ac:dyDescent="0.2">
      <c r="A14" t="s">
        <v>58</v>
      </c>
      <c r="B14" s="7">
        <f>Project_IRR</f>
        <v>7.4437961197233005E-2</v>
      </c>
    </row>
    <row r="16" spans="1:2" x14ac:dyDescent="0.2">
      <c r="A16" s="3" t="s">
        <v>339</v>
      </c>
    </row>
    <row r="17" spans="1:4" x14ac:dyDescent="0.2">
      <c r="A17" s="10" t="s">
        <v>340</v>
      </c>
      <c r="B17" s="10" t="s">
        <v>75</v>
      </c>
      <c r="C17" s="10" t="s">
        <v>76</v>
      </c>
      <c r="D17" s="10" t="s">
        <v>77</v>
      </c>
    </row>
    <row r="18" spans="1:4" x14ac:dyDescent="0.2">
      <c r="A18" t="s">
        <v>46</v>
      </c>
      <c r="B18" s="5">
        <v>222404055.33628491</v>
      </c>
      <c r="C18" s="5">
        <v>208395153.60539189</v>
      </c>
      <c r="D18" s="5">
        <v>195744855.98752099</v>
      </c>
    </row>
    <row r="19" spans="1:4" x14ac:dyDescent="0.2">
      <c r="A19" t="s">
        <v>334</v>
      </c>
      <c r="B19" s="8">
        <v>1.35</v>
      </c>
      <c r="C19" s="8">
        <v>1.2000632272820231</v>
      </c>
      <c r="D19" s="8">
        <v>1.0778418271115551</v>
      </c>
    </row>
    <row r="20" spans="1:4" x14ac:dyDescent="0.2">
      <c r="A20" t="s">
        <v>335</v>
      </c>
      <c r="B20" s="8">
        <v>1.35</v>
      </c>
      <c r="C20" s="8">
        <v>1.2515823006818949</v>
      </c>
      <c r="D20" s="8">
        <v>1.171356824341677</v>
      </c>
    </row>
    <row r="21" spans="1:4" x14ac:dyDescent="0.2">
      <c r="A21" t="s">
        <v>336</v>
      </c>
      <c r="B21" s="8">
        <v>1.35</v>
      </c>
      <c r="C21" s="8">
        <v>1.259469851093751</v>
      </c>
      <c r="D21" s="8">
        <v>1.186320833658947</v>
      </c>
    </row>
    <row r="22" spans="1:4" x14ac:dyDescent="0.2">
      <c r="A22" t="s">
        <v>337</v>
      </c>
      <c r="B22" s="47">
        <v>0</v>
      </c>
      <c r="C22" s="47">
        <v>0</v>
      </c>
      <c r="D22" s="47">
        <v>3</v>
      </c>
    </row>
    <row r="23" spans="1:4" x14ac:dyDescent="0.2">
      <c r="A23" t="s">
        <v>338</v>
      </c>
      <c r="B23" s="47">
        <v>0</v>
      </c>
      <c r="C23" s="47">
        <v>0</v>
      </c>
      <c r="D23" s="47">
        <v>0</v>
      </c>
    </row>
    <row r="24" spans="1:4" x14ac:dyDescent="0.2">
      <c r="A24" t="s">
        <v>50</v>
      </c>
      <c r="B24" s="5">
        <v>114002227.59427699</v>
      </c>
      <c r="C24" s="5">
        <v>159648901.78699839</v>
      </c>
      <c r="D24" s="5">
        <v>203878127.37534761</v>
      </c>
    </row>
    <row r="25" spans="1:4" x14ac:dyDescent="0.2">
      <c r="A25" t="s">
        <v>59</v>
      </c>
      <c r="B25" s="7">
        <v>6.279201590819572E-2</v>
      </c>
      <c r="C25" s="7">
        <v>4.2898767399138782E-3</v>
      </c>
      <c r="D25" s="7">
        <v>-4.9186463397347828E-2</v>
      </c>
    </row>
    <row r="26" spans="1:4" x14ac:dyDescent="0.2">
      <c r="A26" t="s">
        <v>60</v>
      </c>
      <c r="B26" s="7">
        <v>8.135013355590115E-2</v>
      </c>
      <c r="C26" s="7">
        <v>1.1066104125495911E-2</v>
      </c>
      <c r="D26" s="7">
        <v>-5.0063870613169033E-2</v>
      </c>
    </row>
    <row r="27" spans="1:4" x14ac:dyDescent="0.2">
      <c r="A27" t="s">
        <v>58</v>
      </c>
      <c r="B27" s="7">
        <v>7.4437961197233116E-2</v>
      </c>
      <c r="C27" s="7">
        <v>4.8727129498998267E-2</v>
      </c>
      <c r="D27" s="7">
        <v>2.602814757898864E-2</v>
      </c>
    </row>
    <row r="29" spans="1:4" x14ac:dyDescent="0.2">
      <c r="A29" s="3" t="s">
        <v>341</v>
      </c>
    </row>
    <row r="30" spans="1:4" x14ac:dyDescent="0.2">
      <c r="A30" s="10" t="s">
        <v>342</v>
      </c>
      <c r="B30" s="10" t="s">
        <v>70</v>
      </c>
      <c r="C30" s="10" t="s">
        <v>343</v>
      </c>
    </row>
    <row r="31" spans="1:4" x14ac:dyDescent="0.2">
      <c r="A31" t="s">
        <v>344</v>
      </c>
      <c r="B31" s="8">
        <v>1.0778418271115551</v>
      </c>
      <c r="C31" s="8">
        <v>-0.27215817288844518</v>
      </c>
    </row>
    <row r="32" spans="1:4" x14ac:dyDescent="0.2">
      <c r="A32" t="s">
        <v>345</v>
      </c>
      <c r="B32" s="8">
        <v>1.2000632272820231</v>
      </c>
      <c r="C32" s="8">
        <v>-0.14993677271797751</v>
      </c>
    </row>
    <row r="33" spans="1:3" x14ac:dyDescent="0.2">
      <c r="A33" t="s">
        <v>346</v>
      </c>
      <c r="B33" s="8">
        <v>1.35</v>
      </c>
      <c r="C33" s="8">
        <v>-2.2204460492503131E-16</v>
      </c>
    </row>
    <row r="34" spans="1:3" x14ac:dyDescent="0.2">
      <c r="A34" t="s">
        <v>347</v>
      </c>
      <c r="B34" s="8">
        <v>1.35</v>
      </c>
      <c r="C34" s="8">
        <v>0</v>
      </c>
    </row>
    <row r="35" spans="1:3" x14ac:dyDescent="0.2">
      <c r="A35" t="s">
        <v>348</v>
      </c>
      <c r="B35" s="8">
        <v>1.35</v>
      </c>
      <c r="C35" s="8">
        <v>0</v>
      </c>
    </row>
    <row r="36" spans="1:3" x14ac:dyDescent="0.2">
      <c r="A36" t="s">
        <v>349</v>
      </c>
      <c r="B36" s="8">
        <v>1.35</v>
      </c>
      <c r="C36" s="8">
        <v>0</v>
      </c>
    </row>
    <row r="37" spans="1:3" x14ac:dyDescent="0.2">
      <c r="A37" t="s">
        <v>350</v>
      </c>
      <c r="B37" s="8">
        <v>1.35</v>
      </c>
      <c r="C37" s="8">
        <v>0</v>
      </c>
    </row>
    <row r="39" spans="1:3" x14ac:dyDescent="0.2">
      <c r="A39" s="3" t="s">
        <v>351</v>
      </c>
    </row>
    <row r="40" spans="1:3" x14ac:dyDescent="0.2">
      <c r="A40" s="10" t="s">
        <v>342</v>
      </c>
      <c r="B40" s="10" t="s">
        <v>70</v>
      </c>
      <c r="C40" s="10" t="s">
        <v>343</v>
      </c>
    </row>
    <row r="41" spans="1:3" x14ac:dyDescent="0.2">
      <c r="A41" t="s">
        <v>350</v>
      </c>
      <c r="B41" s="7">
        <v>2.3777258197690609E-2</v>
      </c>
      <c r="C41" s="7">
        <v>-5.757287535821054E-2</v>
      </c>
    </row>
    <row r="42" spans="1:3" x14ac:dyDescent="0.2">
      <c r="A42" t="s">
        <v>348</v>
      </c>
      <c r="B42" s="7">
        <v>3.5101038462765133E-2</v>
      </c>
      <c r="C42" s="7">
        <v>-4.6249095093136017E-2</v>
      </c>
    </row>
    <row r="43" spans="1:3" x14ac:dyDescent="0.2">
      <c r="A43" t="s">
        <v>344</v>
      </c>
      <c r="B43" s="7">
        <v>3.536567029450477E-2</v>
      </c>
      <c r="C43" s="7">
        <v>-4.598446326139638E-2</v>
      </c>
    </row>
    <row r="44" spans="1:3" x14ac:dyDescent="0.2">
      <c r="A44" t="s">
        <v>346</v>
      </c>
      <c r="B44" s="7">
        <v>5.1777626426201429E-2</v>
      </c>
      <c r="C44" s="7">
        <v>-2.9572507129699721E-2</v>
      </c>
    </row>
    <row r="45" spans="1:3" x14ac:dyDescent="0.2">
      <c r="A45" t="s">
        <v>349</v>
      </c>
      <c r="B45" s="7">
        <v>5.4652268082804427E-2</v>
      </c>
      <c r="C45" s="7">
        <v>-2.6697865473096719E-2</v>
      </c>
    </row>
    <row r="46" spans="1:3" x14ac:dyDescent="0.2">
      <c r="A46" t="s">
        <v>345</v>
      </c>
      <c r="B46" s="7">
        <v>5.6803268353816549E-2</v>
      </c>
      <c r="C46" s="7">
        <v>-2.45468652020846E-2</v>
      </c>
    </row>
    <row r="47" spans="1:3" x14ac:dyDescent="0.2">
      <c r="A47" t="s">
        <v>347</v>
      </c>
      <c r="B47" s="7">
        <v>6.4004895094923575E-2</v>
      </c>
      <c r="C47" s="7">
        <v>-1.7345238460977571E-2</v>
      </c>
    </row>
    <row r="49" spans="1:2" x14ac:dyDescent="0.2">
      <c r="A49" s="3" t="s">
        <v>352</v>
      </c>
    </row>
    <row r="50" spans="1:2" x14ac:dyDescent="0.2">
      <c r="A50" t="s">
        <v>353</v>
      </c>
      <c r="B50" s="6">
        <v>0.82050033816172041</v>
      </c>
    </row>
    <row r="51" spans="1:2" x14ac:dyDescent="0.2">
      <c r="A51" t="s">
        <v>354</v>
      </c>
      <c r="B51" s="7">
        <v>0.99861267920201091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showGridLines="0" workbookViewId="0"/>
  </sheetViews>
  <sheetFormatPr baseColWidth="10" defaultColWidth="8.83203125" defaultRowHeight="15" x14ac:dyDescent="0.2"/>
  <cols>
    <col min="1" max="1" width="44" customWidth="1"/>
    <col min="2" max="2" width="14" customWidth="1"/>
    <col min="3" max="3" width="15" customWidth="1"/>
    <col min="4" max="33" width="13" customWidth="1"/>
  </cols>
  <sheetData>
    <row r="1" spans="1:3" ht="18" x14ac:dyDescent="0.2">
      <c r="A1" s="9" t="s">
        <v>42</v>
      </c>
    </row>
    <row r="2" spans="1:3" x14ac:dyDescent="0.2">
      <c r="A2" s="2" t="s">
        <v>355</v>
      </c>
    </row>
    <row r="4" spans="1:3" x14ac:dyDescent="0.2">
      <c r="A4" s="11" t="s">
        <v>356</v>
      </c>
      <c r="B4" s="2"/>
      <c r="C4" s="48" t="b">
        <f>ABS(Total_Sources-Total_Uses)&lt;=Tolerance</f>
        <v>1</v>
      </c>
    </row>
    <row r="5" spans="1:3" x14ac:dyDescent="0.2">
      <c r="A5" s="11" t="s">
        <v>357</v>
      </c>
      <c r="B5" s="2"/>
      <c r="C5" s="48" t="b">
        <f>ABS(NPV(Rate,Debt_Sculpt!D14:AG14)-Debt)&lt;=Tolerance*Debt</f>
        <v>1</v>
      </c>
    </row>
    <row r="6" spans="1:3" x14ac:dyDescent="0.2">
      <c r="A6" s="11" t="s">
        <v>358</v>
      </c>
      <c r="B6" s="2"/>
      <c r="C6" s="48" t="b">
        <f>ABS(INDEX(Debt_Sculpt!D18:AG18,1,Tenor))&lt;=Tolerance*Debt</f>
        <v>1</v>
      </c>
    </row>
    <row r="7" spans="1:3" x14ac:dyDescent="0.2">
      <c r="A7" s="11" t="s">
        <v>359</v>
      </c>
      <c r="B7" s="2"/>
      <c r="C7" s="48" t="b">
        <f>MIN(Debt_Sculpt!D18:AG18)&gt;=-Tolerance*Debt</f>
        <v>1</v>
      </c>
    </row>
    <row r="8" spans="1:3" x14ac:dyDescent="0.2">
      <c r="A8" s="11" t="s">
        <v>360</v>
      </c>
      <c r="B8" s="2"/>
      <c r="C8" s="48" t="b">
        <f>MAX(Ratios!D11:AG11)&lt;=Tolerance*Debt</f>
        <v>1</v>
      </c>
    </row>
    <row r="9" spans="1:3" x14ac:dyDescent="0.2">
      <c r="A9" s="11" t="s">
        <v>361</v>
      </c>
      <c r="B9" s="2"/>
      <c r="C9" s="48" t="b">
        <f>Min_DSCR_P50&gt;=DSCR_P50_Target-Tolerance</f>
        <v>1</v>
      </c>
    </row>
    <row r="10" spans="1:3" x14ac:dyDescent="0.2">
      <c r="A10" s="11" t="s">
        <v>362</v>
      </c>
      <c r="B10" s="2"/>
      <c r="C10" s="48" t="b">
        <f>Min_DSCR_P90&gt;=DSCR_P90_Target-Tolerance</f>
        <v>1</v>
      </c>
    </row>
    <row r="11" spans="1:3" x14ac:dyDescent="0.2">
      <c r="A11" s="11" t="s">
        <v>363</v>
      </c>
      <c r="B11" s="2"/>
      <c r="C11" s="48" t="b">
        <f>Debt&lt;=Debt_Capacity_Gearing+Tolerance</f>
        <v>1</v>
      </c>
    </row>
    <row r="12" spans="1:3" x14ac:dyDescent="0.2">
      <c r="A12" s="11" t="s">
        <v>364</v>
      </c>
      <c r="B12" s="2"/>
      <c r="C12" s="48" t="b">
        <f>AND(Tenor&lt;=PPA_Term,Tenor&lt;=COUNT(Generation!D4:AG4))</f>
        <v>1</v>
      </c>
    </row>
    <row r="13" spans="1:3" x14ac:dyDescent="0.2">
      <c r="A13" s="11" t="s">
        <v>365</v>
      </c>
      <c r="B13" s="2"/>
      <c r="C13" s="48" t="b">
        <f>AND(ABS(Equity_NPV_At_IRR)&lt;=Tolerance*Equity,ABS(Equity_NPV_At_IRR_AT)&lt;=Tolerance*Equity)</f>
        <v>1</v>
      </c>
    </row>
    <row r="15" spans="1:3" x14ac:dyDescent="0.2">
      <c r="A15" s="3" t="s">
        <v>366</v>
      </c>
      <c r="B15" s="2"/>
      <c r="C15" s="49" t="b">
        <f>AND(Check_SU,Check_Debt_PV,Check_Repaid,Check_No_Negative,Check_Parity,Check_DSCR_P50,Check_DSCR_P90,Check_Gearing,Check_Tenor,Check_IRR)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176</vt:i4>
      </vt:variant>
    </vt:vector>
  </HeadingPairs>
  <TitlesOfParts>
    <vt:vector size="191" baseType="lpstr">
      <vt:lpstr>Cover</vt:lpstr>
      <vt:lpstr>Summary</vt:lpstr>
      <vt:lpstr>Inputs</vt:lpstr>
      <vt:lpstr>Sources</vt:lpstr>
      <vt:lpstr>Capex_SU</vt:lpstr>
      <vt:lpstr>Generation</vt:lpstr>
      <vt:lpstr>Revenue</vt:lpstr>
      <vt:lpstr>Opex</vt:lpstr>
      <vt:lpstr>CFADS</vt:lpstr>
      <vt:lpstr>Debt_Sculpt</vt:lpstr>
      <vt:lpstr>Ratios</vt:lpstr>
      <vt:lpstr>Tax</vt:lpstr>
      <vt:lpstr>Returns</vt:lpstr>
      <vt:lpstr>Scenarios</vt:lpstr>
      <vt:lpstr>Checks</vt:lpstr>
      <vt:lpstr>All_Checks</vt:lpstr>
      <vt:lpstr>Asset_Mgmt</vt:lpstr>
      <vt:lpstr>Avg_Draw</vt:lpstr>
      <vt:lpstr>Avg_DSCR_Op</vt:lpstr>
      <vt:lpstr>Avg_DSCR_P50</vt:lpstr>
      <vt:lpstr>Avg_DSCR_P90</vt:lpstr>
      <vt:lpstr>BESS_Capex</vt:lpstr>
      <vt:lpstr>BESS_Capex_Base</vt:lpstr>
      <vt:lpstr>BESS_Capex_Per_kWh</vt:lpstr>
      <vt:lpstr>BESS_FOM_Pct</vt:lpstr>
      <vt:lpstr>BESS_Hours</vt:lpstr>
      <vt:lpstr>BESS_Life</vt:lpstr>
      <vt:lpstr>BESS_MW</vt:lpstr>
      <vt:lpstr>BESS_MWh</vt:lpstr>
      <vt:lpstr>Capex_Overrun</vt:lpstr>
      <vt:lpstr>Capex_Per_tCO2e</vt:lpstr>
      <vt:lpstr>Case_Select</vt:lpstr>
      <vt:lpstr>CF_P50</vt:lpstr>
      <vt:lpstr>Check_Debt_PV</vt:lpstr>
      <vt:lpstr>Check_DSCR_P50</vt:lpstr>
      <vt:lpstr>Check_DSCR_P90</vt:lpstr>
      <vt:lpstr>Check_Gearing</vt:lpstr>
      <vt:lpstr>Check_IRR</vt:lpstr>
      <vt:lpstr>Check_No_Negative</vt:lpstr>
      <vt:lpstr>Check_Parity</vt:lpstr>
      <vt:lpstr>Check_Repaid</vt:lpstr>
      <vt:lpstr>Check_SU</vt:lpstr>
      <vt:lpstr>Check_Tenor</vt:lpstr>
      <vt:lpstr>Constr_Years</vt:lpstr>
      <vt:lpstr>Curtailment</vt:lpstr>
      <vt:lpstr>Debt</vt:lpstr>
      <vt:lpstr>Debt_Capacity_Gearing</vt:lpstr>
      <vt:lpstr>Debt_Capacity_Sculpt</vt:lpstr>
      <vt:lpstr>Debt_Spread</vt:lpstr>
      <vt:lpstr>Default_Years</vt:lpstr>
      <vt:lpstr>Degradation</vt:lpstr>
      <vt:lpstr>Dep_Basis</vt:lpstr>
      <vt:lpstr>Dev_Costs</vt:lpstr>
      <vt:lpstr>DSCR_Default_PF</vt:lpstr>
      <vt:lpstr>DSCR_Lockup</vt:lpstr>
      <vt:lpstr>DSCR_P50_Target</vt:lpstr>
      <vt:lpstr>DSCR_P90_Target</vt:lpstr>
      <vt:lpstr>DSRA</vt:lpstr>
      <vt:lpstr>DSRA_Months</vt:lpstr>
      <vt:lpstr>Equipment_Capex</vt:lpstr>
      <vt:lpstr>Equity</vt:lpstr>
      <vt:lpstr>Equity_Hurdle</vt:lpstr>
      <vt:lpstr>Equity_IRR</vt:lpstr>
      <vt:lpstr>Equity_IRR_AT</vt:lpstr>
      <vt:lpstr>Equity_Multiple</vt:lpstr>
      <vt:lpstr>Equity_NPV_At_IRR</vt:lpstr>
      <vt:lpstr>Equity_NPV_At_IRR_AT</vt:lpstr>
      <vt:lpstr>Fees</vt:lpstr>
      <vt:lpstr>Gearing</vt:lpstr>
      <vt:lpstr>Gen_Case_Z</vt:lpstr>
      <vt:lpstr>Gen_Sigma_1yr</vt:lpstr>
      <vt:lpstr>Gen_Y1_P50</vt:lpstr>
      <vt:lpstr>Grid_CO2e_lb_MWh</vt:lpstr>
      <vt:lpstr>Hours_Per_Year</vt:lpstr>
      <vt:lpstr>IDC</vt:lpstr>
      <vt:lpstr>ILR</vt:lpstr>
      <vt:lpstr>ITC_Basis_Reduction</vt:lpstr>
      <vt:lpstr>ITC_BESS</vt:lpstr>
      <vt:lpstr>ITC_Proceeds</vt:lpstr>
      <vt:lpstr>ITC_PV</vt:lpstr>
      <vt:lpstr>ITC_Transfer_Price</vt:lpstr>
      <vt:lpstr>kW_per_MW</vt:lpstr>
      <vt:lpstr>kWh_per_MWh</vt:lpstr>
      <vt:lpstr>lb_per_t</vt:lpstr>
      <vt:lpstr>LLCR</vt:lpstr>
      <vt:lpstr>LLCR_Op</vt:lpstr>
      <vt:lpstr>Lockup_Years</vt:lpstr>
      <vt:lpstr>MACRS_Table</vt:lpstr>
      <vt:lpstr>MACRS_Y1</vt:lpstr>
      <vt:lpstr>MACRS_Y2</vt:lpstr>
      <vt:lpstr>MACRS_Y3</vt:lpstr>
      <vt:lpstr>MACRS_Y4</vt:lpstr>
      <vt:lpstr>MACRS_Y5</vt:lpstr>
      <vt:lpstr>MACRS_Y6</vt:lpstr>
      <vt:lpstr>Max_Gearing</vt:lpstr>
      <vt:lpstr>Merchant_Escalation</vt:lpstr>
      <vt:lpstr>Merchant_Price</vt:lpstr>
      <vt:lpstr>Merchant_Shock</vt:lpstr>
      <vt:lpstr>Min_DSCR_Op</vt:lpstr>
      <vt:lpstr>Min_DSCR_P50</vt:lpstr>
      <vt:lpstr>Min_DSCR_P90</vt:lpstr>
      <vt:lpstr>Months</vt:lpstr>
      <vt:lpstr>Net_CF_Y1</vt:lpstr>
      <vt:lpstr>Op_Gen_Factor</vt:lpstr>
      <vt:lpstr>Opex_Escalation</vt:lpstr>
      <vt:lpstr>Owner_Dev_Pct</vt:lpstr>
      <vt:lpstr>P90_Factor</vt:lpstr>
      <vt:lpstr>P99_Factor</vt:lpstr>
      <vt:lpstr>PLCR</vt:lpstr>
      <vt:lpstr>PPA_Escalator</vt:lpstr>
      <vt:lpstr>PPA_Price</vt:lpstr>
      <vt:lpstr>PPA_Term</vt:lpstr>
      <vt:lpstr>Project_Capex</vt:lpstr>
      <vt:lpstr>Project_IRR</vt:lpstr>
      <vt:lpstr>Project_IRR_AT</vt:lpstr>
      <vt:lpstr>PV_Capex</vt:lpstr>
      <vt:lpstr>PV_Capex_Per_Wac</vt:lpstr>
      <vt:lpstr>PV_FOM_Per_kWac</vt:lpstr>
      <vt:lpstr>PV_Life</vt:lpstr>
      <vt:lpstr>PV_MWac</vt:lpstr>
      <vt:lpstr>PV_MWdc</vt:lpstr>
      <vt:lpstr>R_Beg_Balance</vt:lpstr>
      <vt:lpstr>R_BESS_On</vt:lpstr>
      <vt:lpstr>R_CFADS_Op</vt:lpstr>
      <vt:lpstr>R_CFADS_P50</vt:lpstr>
      <vt:lpstr>R_CFADS_P90</vt:lpstr>
      <vt:lpstr>R_Debt_Service</vt:lpstr>
      <vt:lpstr>R_Deg_Index</vt:lpstr>
      <vt:lpstr>R_Depreciation</vt:lpstr>
      <vt:lpstr>R_DS_Target</vt:lpstr>
      <vt:lpstr>R_DSCR_Op</vt:lpstr>
      <vt:lpstr>R_DSCR_P50</vt:lpstr>
      <vt:lpstr>R_DSCR_P90</vt:lpstr>
      <vt:lpstr>R_DSRA_Release</vt:lpstr>
      <vt:lpstr>R_End_Balance</vt:lpstr>
      <vt:lpstr>R_Equity_CF</vt:lpstr>
      <vt:lpstr>R_Equity_CF_AT</vt:lpstr>
      <vt:lpstr>R_Esc_Index</vt:lpstr>
      <vt:lpstr>R_Gen_Op</vt:lpstr>
      <vt:lpstr>R_Gen_P50</vt:lpstr>
      <vt:lpstr>R_Gen_P90</vt:lpstr>
      <vt:lpstr>R_Interest</vt:lpstr>
      <vt:lpstr>R_Merchant_Price_Row</vt:lpstr>
      <vt:lpstr>R_Opex</vt:lpstr>
      <vt:lpstr>R_Opex_AM</vt:lpstr>
      <vt:lpstr>R_Opex_BESS</vt:lpstr>
      <vt:lpstr>R_Opex_PV</vt:lpstr>
      <vt:lpstr>R_Parity</vt:lpstr>
      <vt:lpstr>R_PPA_On</vt:lpstr>
      <vt:lpstr>R_PPA_Price_Row</vt:lpstr>
      <vt:lpstr>R_Price_Base</vt:lpstr>
      <vt:lpstr>R_Price_Op</vt:lpstr>
      <vt:lpstr>R_Principal</vt:lpstr>
      <vt:lpstr>R_Project_CF</vt:lpstr>
      <vt:lpstr>R_Project_CF_AT</vt:lpstr>
      <vt:lpstr>R_PV_On</vt:lpstr>
      <vt:lpstr>R_Rev_BESS</vt:lpstr>
      <vt:lpstr>R_Rev_PV_Op</vt:lpstr>
      <vt:lpstr>R_Rev_PV_P50</vt:lpstr>
      <vt:lpstr>R_Rev_PV_P90</vt:lpstr>
      <vt:lpstr>R_Tax</vt:lpstr>
      <vt:lpstr>R_Taxable_Income</vt:lpstr>
      <vt:lpstr>R_Tenor_On</vt:lpstr>
      <vt:lpstr>R_Toll_On</vt:lpstr>
      <vt:lpstr>Rate</vt:lpstr>
      <vt:lpstr>Rate_Shock</vt:lpstr>
      <vt:lpstr>Sculpt_Scale</vt:lpstr>
      <vt:lpstr>Snap_Avg_DSCR_Op</vt:lpstr>
      <vt:lpstr>Snap_Debt</vt:lpstr>
      <vt:lpstr>Snap_Default_Years</vt:lpstr>
      <vt:lpstr>Snap_Equity</vt:lpstr>
      <vt:lpstr>Snap_Equity_IRR</vt:lpstr>
      <vt:lpstr>Snap_Equity_IRR_AT</vt:lpstr>
      <vt:lpstr>Snap_LLCR_Op</vt:lpstr>
      <vt:lpstr>Snap_Lockup_Years</vt:lpstr>
      <vt:lpstr>Snap_Min_DSCR_Op</vt:lpstr>
      <vt:lpstr>Snap_Project_IRR</vt:lpstr>
      <vt:lpstr>Tax_Rate</vt:lpstr>
      <vt:lpstr>tCO2e_Avoided_Life</vt:lpstr>
      <vt:lpstr>tCO2e_Avoided_Y1</vt:lpstr>
      <vt:lpstr>Tenor</vt:lpstr>
      <vt:lpstr>Tolerance</vt:lpstr>
      <vt:lpstr>Toll_Price</vt:lpstr>
      <vt:lpstr>Toll_Term</vt:lpstr>
      <vt:lpstr>Total_Sources</vt:lpstr>
      <vt:lpstr>Total_Uses</vt:lpstr>
      <vt:lpstr>Upfront_Fee</vt:lpstr>
      <vt:lpstr>UST_10Y</vt:lpstr>
      <vt:lpstr>W_per_kW</vt:lpstr>
      <vt:lpstr>Z_P90</vt:lpstr>
      <vt:lpstr>Z_P99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 Patel</cp:lastModifiedBy>
  <dcterms:created xsi:type="dcterms:W3CDTF">2026-10-15T22:17:29Z</dcterms:created>
  <dcterms:modified xsi:type="dcterms:W3CDTF">2026-10-15T22:17:33Z</dcterms:modified>
</cp:coreProperties>
</file>