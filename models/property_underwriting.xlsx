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tmp/"/>
    </mc:Choice>
  </mc:AlternateContent>
  <xr:revisionPtr revIDLastSave="0" documentId="13_ncr:1_{EA452940-8879-6B47-9E0F-60A39F7FF034}" xr6:coauthVersionLast="47" xr6:coauthVersionMax="47" xr10:uidLastSave="{00000000-0000-0000-0000-000000000000}"/>
  <bookViews>
    <workbookView xWindow="0" yWindow="0" windowWidth="34560" windowHeight="22340" xr2:uid="{00000000-000D-0000-FFFF-FFFF00000000}"/>
  </bookViews>
  <sheets>
    <sheet name="Cover" sheetId="1" r:id="rId1"/>
    <sheet name="Summary" sheetId="2" r:id="rId2"/>
    <sheet name="Inputs" sheetId="3" r:id="rId3"/>
    <sheet name="Sources" sheetId="4" r:id="rId4"/>
    <sheet name="RentRoll" sheetId="5" r:id="rId5"/>
    <sheet name="Energy" sheetId="6" r:id="rId6"/>
    <sheet name="Operating" sheetId="7" r:id="rId7"/>
    <sheet name="Debt" sheetId="8" r:id="rId8"/>
    <sheet name="Covenants" sheetId="9" r:id="rId9"/>
    <sheet name="Returns" sheetId="10" r:id="rId10"/>
    <sheet name="Retrofit" sheetId="11" r:id="rId11"/>
    <sheet name="Scenarios" sheetId="12" r:id="rId12"/>
    <sheet name="Checks" sheetId="13" r:id="rId13"/>
  </sheets>
  <definedNames>
    <definedName name="Admin_Per_Unit">Inputs!$C$31</definedName>
    <definedName name="All_Checks">Checks!$C$16</definedName>
    <definedName name="Amort_Months">Inputs!$C$78</definedName>
    <definedName name="Assessed_Value_Per_Unit">Inputs!$C$25</definedName>
    <definedName name="BEPS_EUI_Cut">Inputs!$C$64</definedName>
    <definedName name="BEPS_Max_Penalty">Retrofit!$C$23</definedName>
    <definedName name="BEPS_Met">Retrofit!$C$22</definedName>
    <definedName name="BEPS_Penalty_Cap">Inputs!$C$66</definedName>
    <definedName name="BEPS_Penalty_Per_SF">Inputs!$C$65</definedName>
    <definedName name="Binding_Test">Debt!$C$13</definedName>
    <definedName name="Boiler_Eff">Inputs!$C$44</definedName>
    <definedName name="Boiler_Replace_Cost">Inputs!$C$34</definedName>
    <definedName name="Boiler_Replace_Year">Inputs!$C$35</definedName>
    <definedName name="Case_Select">Inputs!$C$89</definedName>
    <definedName name="Check_Balance">Checks!$C$7</definedName>
    <definedName name="Check_Debt_Service">Checks!$C$8</definedName>
    <definedName name="Check_Energy">Checks!$C$10</definedName>
    <definedName name="Check_Hold">Checks!$C$14</definedName>
    <definedName name="Check_IRR_RF">Checks!$C$13</definedName>
    <definedName name="Check_IRR_SQ">Checks!$C$12</definedName>
    <definedName name="Check_Loan_Limits">Checks!$C$6</definedName>
    <definedName name="Check_Shares">Checks!$C$9</definedName>
    <definedName name="Check_Solar">Checks!$C$11</definedName>
    <definedName name="Check_SU_RF">Checks!$C$5</definedName>
    <definedName name="Check_SU_SQ">Checks!$C$4</definedName>
    <definedName name="Closing_Cost_Pct">Inputs!$C$68</definedName>
    <definedName name="Closing_Costs">Returns!$C$14</definedName>
    <definedName name="Common_kWh">Energy!$C$9</definedName>
    <definedName name="Common_RF_kWh">Energy!$C$17</definedName>
    <definedName name="COP_DHW">Inputs!$C$46</definedName>
    <definedName name="COP_Heat">Inputs!$C$45</definedName>
    <definedName name="Cost_Per_tCO2e">Retrofit!$C$19</definedName>
    <definedName name="Debt_Constant">Debt!$C$8</definedName>
    <definedName name="Debt_Option">Inputs!$C$72</definedName>
    <definedName name="DSCR_Default">Inputs!$C$86</definedName>
    <definedName name="DSCR_Sizing">Inputs!$C$81</definedName>
    <definedName name="DSCR_Trap">Inputs!$C$85</definedName>
    <definedName name="DY_Default">Inputs!$C$88</definedName>
    <definedName name="DY_Sizing">Inputs!$C$82</definedName>
    <definedName name="DY_Trap">Inputs!$C$87</definedName>
    <definedName name="Elec_Price">Inputs!$C$41</definedName>
    <definedName name="Envelope_Capex">Retrofit!$C$6</definedName>
    <definedName name="Envelope_Capex_Per_SF">Inputs!$C$54</definedName>
    <definedName name="Envelope_Heat_Reduction">Inputs!$C$47</definedName>
    <definedName name="Equity_Multiple_RF">Returns!$C$36</definedName>
    <definedName name="Equity_Multiple_SQ">Returns!$C$32</definedName>
    <definedName name="Equity_RF">Returns!$C$19</definedName>
    <definedName name="Equity_SQ">Returns!$C$18</definedName>
    <definedName name="EUI_Base">Energy!$C$23</definedName>
    <definedName name="EUI_Reduction">Energy!$C$26</definedName>
    <definedName name="EUI_RF">Energy!$C$24</definedName>
    <definedName name="EUI_RF_Net_Solar">Energy!$C$25</definedName>
    <definedName name="Exit_Cap">Inputs!$C$70</definedName>
    <definedName name="Exit_Value_RF">Returns!$C$26</definedName>
    <definedName name="Exit_Value_SQ">Returns!$C$23</definedName>
    <definedName name="Exit_Value_Uplift">Retrofit!$C$17</definedName>
    <definedName name="Expense_Growth">Inputs!$C$22</definedName>
    <definedName name="Fixed_Spread">Inputs!$C$74</definedName>
    <definedName name="Float_Spread">Inputs!$C$76</definedName>
    <definedName name="g_per_kg">Inputs!$C$95</definedName>
    <definedName name="Gas_DHW_MMBtu">Energy!$C$7</definedName>
    <definedName name="Gas_Heat_MMBtu">Energy!$C$6</definedName>
    <definedName name="Gas_MMBtu_Per_Mcf">Inputs!$C$43</definedName>
    <definedName name="Gas_Price_Mcf">Inputs!$C$42</definedName>
    <definedName name="Gas_Price_MMBtu">Energy!$C$11</definedName>
    <definedName name="Gas_Retained_Share">Inputs!$C$57</definedName>
    <definedName name="Gas_RF_MMBtu">Energy!$C$16</definedName>
    <definedName name="Gas_SQ_MMBtu">Energy!$C$8</definedName>
    <definedName name="GFA">Inputs!$C$17</definedName>
    <definedName name="Going_In_Cap">Returns!$C$38</definedName>
    <definedName name="GPR_Y1">RentRoll!$E$9</definedName>
    <definedName name="Grid_CO2e_lb_MWh">Inputs!$C$58</definedName>
    <definedName name="Grid_RF_kWh">Energy!$C$20</definedName>
    <definedName name="Grid_tCO2e_kWh">Energy!$C$30</definedName>
    <definedName name="GWP_CH4">Inputs!$C$62</definedName>
    <definedName name="GWP_N2O">Inputs!$C$63</definedName>
    <definedName name="Hold_Years">Inputs!$C$69</definedName>
    <definedName name="HP_Capex">Retrofit!$C$5</definedName>
    <definedName name="HP_Capex_Per_Unit">Inputs!$C$53</definedName>
    <definedName name="HP_DHW_kWh">Energy!$C$15</definedName>
    <definedName name="HP_Heat_kWh">Energy!$C$14</definedName>
    <definedName name="Insurance_Per_Unit">Inputs!$C$27</definedName>
    <definedName name="IO_Years">Inputs!$C$79</definedName>
    <definedName name="kBtu_per_MMBtu">Inputs!$C$91</definedName>
    <definedName name="kg_per_t">Inputs!$C$96</definedName>
    <definedName name="kWh_per_MMBtu">Inputs!$C$92</definedName>
    <definedName name="kWh_per_MWh">Inputs!$C$93</definedName>
    <definedName name="lb_per_t">Inputs!$C$97</definedName>
    <definedName name="LED_Capex">Retrofit!$C$7</definedName>
    <definedName name="LED_Capex_Per_Unit">Inputs!$C$55</definedName>
    <definedName name="LED_Savings">Inputs!$C$48</definedName>
    <definedName name="Lev_IRR_Delta">Retrofit!$C$18</definedName>
    <definedName name="Lev_IRR_RF">Returns!$C$35</definedName>
    <definedName name="Lev_IRR_SQ">Returns!$C$31</definedName>
    <definedName name="Lev_NPV_At_IRR_RF">Returns!$C$37</definedName>
    <definedName name="Lev_NPV_At_IRR_SQ">Returns!$C$33</definedName>
    <definedName name="Loan">Debt!$C$12</definedName>
    <definedName name="Loan_Fee_Pct">Inputs!$C$84</definedName>
    <definedName name="Loan_Fees">Returns!$C$15</definedName>
    <definedName name="Loan_Override">Inputs!$C$83</definedName>
    <definedName name="LTV">Debt!$C$14</definedName>
    <definedName name="LTV_Max">Inputs!$C$80</definedName>
    <definedName name="Max_Loan_DSCR">Debt!$C$10</definedName>
    <definedName name="Max_Loan_DY">Debt!$C$11</definedName>
    <definedName name="Max_Loan_LTV">Debt!$C$9</definedName>
    <definedName name="Measure_Life">Inputs!$C$56</definedName>
    <definedName name="Mgmt_Fee_Pct">Inputs!$C$32</definedName>
    <definedName name="Min_DSCR_RF">Covenants!$C$35</definedName>
    <definedName name="Min_DSCR_SQ">Covenants!$C$32</definedName>
    <definedName name="Min_DY_RF">Covenants!$C$36</definedName>
    <definedName name="Min_DY_SQ">Covenants!$C$33</definedName>
    <definedName name="Months">Inputs!$C$90</definedName>
    <definedName name="Net_Sale_RF">Returns!$C$27</definedName>
    <definedName name="Net_Sale_SQ">Returns!$C$24</definedName>
    <definedName name="NG_CH4_g_MMBtu">Inputs!$C$60</definedName>
    <definedName name="NG_CO2_kg_MMBtu">Inputs!$C$59</definedName>
    <definedName name="NG_N2O_g_MMBtu">Inputs!$C$61</definedName>
    <definedName name="NG_tCO2e_MMBtu">Energy!$C$29</definedName>
    <definedName name="NOI_Fwd_RF">Returns!$C$25</definedName>
    <definedName name="NOI_Fwd_SQ">Returns!$C$22</definedName>
    <definedName name="NRSF">RentRoll!$F$9</definedName>
    <definedName name="Other_Income_Growth">Inputs!$C$21</definedName>
    <definedName name="Other_Income_Per_Unit">Inputs!$C$19</definedName>
    <definedName name="Owner_Gross_RF_kWh">Energy!$C$18</definedName>
    <definedName name="Owner_tCO2e_RF">Energy!$C$37</definedName>
    <definedName name="Owner_tCO2e_SQ">Energy!$C$36</definedName>
    <definedName name="Payback_Net_Boiler_Years">Retrofit!$C$16</definedName>
    <definedName name="Payback_Years">Retrofit!$C$15</definedName>
    <definedName name="Payroll_Per_Unit">Inputs!$C$30</definedName>
    <definedName name="Price">Inputs!$C$67</definedName>
    <definedName name="Price_Per_Unit">Returns!$C$39</definedName>
    <definedName name="R_Admin">Operating!$D$24:$N$24</definedName>
    <definedName name="R_Beg_Balance">Debt!$D$23:$N$23</definedName>
    <definedName name="R_Boiler_Capex_SQ">Operating!$D$42:$N$42</definedName>
    <definedName name="R_Cov_In_Hold">Covenants!$D$5:$N$5</definedName>
    <definedName name="R_Debt_Service">Debt!$D$25:$N$25</definedName>
    <definedName name="R_DS_Check">Debt!$D$29:$N$29</definedName>
    <definedName name="R_DSCR_Flag_RF">Covenants!$D$22:$N$22</definedName>
    <definedName name="R_DSCR_Flag_SQ">Covenants!$D$10:$N$10</definedName>
    <definedName name="R_DSCR_Headroom_RF">Covenants!$D$21:$N$21</definedName>
    <definedName name="R_DSCR_Headroom_SQ">Covenants!$D$9:$N$9</definedName>
    <definedName name="R_DSCR_RF">Covenants!$D$20:$N$20</definedName>
    <definedName name="R_DSCR_SQ">Covenants!$D$8:$N$8</definedName>
    <definedName name="R_DY_Flag_RF">Covenants!$D$25:$N$25</definedName>
    <definedName name="R_DY_Flag_SQ">Covenants!$D$13:$N$13</definedName>
    <definedName name="R_DY_Headroom_RF">Covenants!$D$24:$N$24</definedName>
    <definedName name="R_DY_Headroom_SQ">Covenants!$D$12:$N$12</definedName>
    <definedName name="R_DY_RF">Covenants!$D$23:$N$23</definedName>
    <definedName name="R_DY_SQ">Covenants!$D$11:$N$11</definedName>
    <definedName name="R_EGI">Operating!$D$16:$N$16</definedName>
    <definedName name="R_Elec_Cost_RF">Operating!$D$32:$N$32</definedName>
    <definedName name="R_Elec_Cost_SQ">Operating!$D$30:$N$30</definedName>
    <definedName name="R_End_Balance">Debt!$D$26:$N$26</definedName>
    <definedName name="R_Exit_Flag">Returns!$D$6:$N$6</definedName>
    <definedName name="R_Gas_Cost_RF">Operating!$D$31:$N$31</definedName>
    <definedName name="R_Gas_Cost_SQ">Operating!$D$29:$N$29</definedName>
    <definedName name="R_GPR">Operating!$D$13:$N$13</definedName>
    <definedName name="R_In_Hold">Returns!$D$5:$N$5</definedName>
    <definedName name="R_Insurance">Operating!$D$20:$N$20</definedName>
    <definedName name="R_Interest">Debt!$D$28:$N$28</definedName>
    <definedName name="R_Lev_CF_RF">Returns!$C$11:$N$11</definedName>
    <definedName name="R_Lev_CF_SQ">Returns!$C$10:$N$10</definedName>
    <definedName name="R_Mgmt_Fee">Operating!$D$25:$N$25</definedName>
    <definedName name="R_Monthly_Payment">Debt!$D$24:$N$24</definedName>
    <definedName name="R_NCF_RF">Operating!$D$41:$N$41</definedName>
    <definedName name="R_NCF_SQ">Operating!$D$40:$N$40</definedName>
    <definedName name="R_NOI_RF">Operating!$D$38:$N$38</definedName>
    <definedName name="R_NOI_SQ">Operating!$D$37:$N$37</definedName>
    <definedName name="R_Opex_RF">Operating!$D$36:$N$36</definedName>
    <definedName name="R_Opex_SQ">Operating!$D$35:$N$35</definedName>
    <definedName name="R_Other_Income">Operating!$D$15:$N$15</definedName>
    <definedName name="R_Payroll">Operating!$D$23:$N$23</definedName>
    <definedName name="R_Principal">Debt!$D$27:$N$27</definedName>
    <definedName name="R_Rate">Debt!$D$21:$N$21</definedName>
    <definedName name="R_Repairs">Operating!$D$22:$N$22</definedName>
    <definedName name="R_Reserves">Operating!$D$39:$N$39</definedName>
    <definedName name="R_Shared_Opex">Operating!$D$26:$N$26</definedName>
    <definedName name="R_Taxes">Operating!$D$19:$N$19</definedName>
    <definedName name="R_Unlev_CF_RF">Returns!$C$9:$N$9</definedName>
    <definedName name="R_Unlev_CF_SQ">Returns!$C$8:$N$8</definedName>
    <definedName name="R_Vacancy">Operating!$D$14:$N$14</definedName>
    <definedName name="R_Water_Sewer">Operating!$D$21:$N$21</definedName>
    <definedName name="Rate_Fixed">Debt!$C$6</definedName>
    <definedName name="Rate_Float">Debt!$C$7</definedName>
    <definedName name="Rent_1BR">Inputs!$C$14</definedName>
    <definedName name="Rent_2BR">Inputs!$C$15</definedName>
    <definedName name="Rent_3BR">Inputs!$C$16</definedName>
    <definedName name="Rent_Growth">Inputs!$C$20</definedName>
    <definedName name="Rent_Studio">Inputs!$C$13</definedName>
    <definedName name="Repairs_Per_Unit">Inputs!$C$29</definedName>
    <definedName name="Reserve_Per_Unit">Inputs!$C$33</definedName>
    <definedName name="Retrofit_Gross">Retrofit!$C$9</definedName>
    <definedName name="Retrofit_Net">Retrofit!$C$11</definedName>
    <definedName name="Sale_Cost_Pct">Inputs!$C$71</definedName>
    <definedName name="Scope1_RF">Energy!$C$33</definedName>
    <definedName name="Scope1_SQ">Energy!$C$31</definedName>
    <definedName name="Scope2_RF">Energy!$C$34</definedName>
    <definedName name="Scope2_SQ">Energy!$C$32</definedName>
    <definedName name="SF_1BR">Inputs!$C$10</definedName>
    <definedName name="SF_2BR">Inputs!$C$11</definedName>
    <definedName name="SF_3BR">Inputs!$C$12</definedName>
    <definedName name="SF_Studio">Inputs!$C$9</definedName>
    <definedName name="Share_Common_Elec">Inputs!$C$39</definedName>
    <definedName name="Share_DHW_Gas">Inputs!$C$38</definedName>
    <definedName name="Share_Heat_Gas">Inputs!$C$37</definedName>
    <definedName name="Share_Tenant_Elec">Inputs!$C$40</definedName>
    <definedName name="Site_EUI_Base">Inputs!$C$36</definedName>
    <definedName name="Site_MMBtu_Base">Energy!$C$5</definedName>
    <definedName name="Snap_Equity_Multiple_RF">Scenarios!$B$26:$D$26</definedName>
    <definedName name="Snap_EUI_RF">Scenarios!$B$29:$D$29</definedName>
    <definedName name="Snap_Exit_Value_RF">Scenarios!$B$27:$D$27</definedName>
    <definedName name="Snap_Lev_IRR_RF">Scenarios!$B$25:$D$25</definedName>
    <definedName name="Snap_Lev_IRR_SQ">Scenarios!$B$24:$D$24</definedName>
    <definedName name="Snap_Loan">Scenarios!$B$19:$D$19</definedName>
    <definedName name="Snap_Min_DSCR_RF">Scenarios!$B$21:$D$21</definedName>
    <definedName name="Snap_Min_DSCR_SQ">Scenarios!$B$20:$D$20</definedName>
    <definedName name="Snap_Min_DY_SQ">Scenarios!$B$22:$D$22</definedName>
    <definedName name="Snap_Payback_Years">Scenarios!$B$28:$D$28</definedName>
    <definedName name="Snap_Trap_Years_SQ">Scenarios!$B$23:$D$23</definedName>
    <definedName name="SOFR">Inputs!$C$75</definedName>
    <definedName name="SOFR_Shock">Inputs!$C$77</definedName>
    <definedName name="Solar_Capex">Retrofit!$C$8</definedName>
    <definedName name="Solar_Capex_Per_W">Inputs!$C$51</definedName>
    <definedName name="Solar_ITC">Inputs!$C$52</definedName>
    <definedName name="Solar_ITC_Amt">Retrofit!$C$10</definedName>
    <definedName name="Solar_kWdc">Inputs!$C$49</definedName>
    <definedName name="Solar_kWh">Energy!$C$19</definedName>
    <definedName name="Solar_Yield">Inputs!$C$50</definedName>
    <definedName name="Tax_Growth">Inputs!$C$23</definedName>
    <definedName name="Tax_Rate">Inputs!$C$26</definedName>
    <definedName name="tCO2e_Avoided">Energy!$C$38</definedName>
    <definedName name="Tenant_kWh">Energy!$C$10</definedName>
    <definedName name="Tenant_tCO2e">Energy!$C$35</definedName>
    <definedName name="Tolerance">Inputs!$C$98</definedName>
    <definedName name="Trap_Years_RF">Covenants!$C$37</definedName>
    <definedName name="Trap_Years_SQ">Covenants!$C$34</definedName>
    <definedName name="Units">RentRoll!$B$9</definedName>
    <definedName name="Units_1BR">Inputs!$C$6</definedName>
    <definedName name="Units_2BR">Inputs!$C$7</definedName>
    <definedName name="Units_3BR">Inputs!$C$8</definedName>
    <definedName name="Units_Studio">Inputs!$C$5</definedName>
    <definedName name="Unlev_IRR_RF">Returns!$C$34</definedName>
    <definedName name="Unlev_IRR_SQ">Returns!$C$30</definedName>
    <definedName name="Uses_RF">Returns!$C$17</definedName>
    <definedName name="Uses_SQ">Returns!$C$16</definedName>
    <definedName name="UST_10Y">Inputs!$C$73</definedName>
    <definedName name="Utility_Price_Growth">Inputs!$C$24</definedName>
    <definedName name="Utility_Savings_Y1">Retrofit!$C$14</definedName>
    <definedName name="Vacancy_Rate">Inputs!$C$18</definedName>
    <definedName name="W_per_kW">Inputs!$C$94</definedName>
    <definedName name="Water_Sewer_Per_Unit">Inputs!$C$28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3" l="1"/>
  <c r="B4" i="12"/>
  <c r="C23" i="11"/>
  <c r="C8" i="11"/>
  <c r="C10" i="11" s="1"/>
  <c r="C6" i="11"/>
  <c r="C14" i="10"/>
  <c r="D6" i="10"/>
  <c r="D5" i="10"/>
  <c r="E4" i="10"/>
  <c r="D5" i="9"/>
  <c r="E4" i="9"/>
  <c r="D22" i="8"/>
  <c r="C9" i="8"/>
  <c r="C7" i="8"/>
  <c r="C6" i="8"/>
  <c r="E4" i="8"/>
  <c r="D42" i="7"/>
  <c r="D10" i="7"/>
  <c r="D9" i="7"/>
  <c r="D8" i="7"/>
  <c r="D7" i="7"/>
  <c r="D6" i="7"/>
  <c r="E4" i="7"/>
  <c r="C30" i="6"/>
  <c r="C29" i="6"/>
  <c r="C23" i="6"/>
  <c r="B17" i="2" s="1"/>
  <c r="C19" i="6"/>
  <c r="C11" i="6"/>
  <c r="C5" i="6"/>
  <c r="D8" i="5"/>
  <c r="C8" i="5"/>
  <c r="B8" i="5"/>
  <c r="D7" i="5"/>
  <c r="C7" i="5"/>
  <c r="B7" i="5"/>
  <c r="D6" i="5"/>
  <c r="C6" i="5"/>
  <c r="B6" i="5"/>
  <c r="D5" i="5"/>
  <c r="C5" i="5"/>
  <c r="B5" i="5"/>
  <c r="C83" i="3"/>
  <c r="C77" i="3"/>
  <c r="C70" i="3"/>
  <c r="C53" i="3"/>
  <c r="C45" i="3"/>
  <c r="C24" i="3"/>
  <c r="C22" i="3"/>
  <c r="C20" i="3"/>
  <c r="C18" i="3"/>
  <c r="C4" i="2"/>
  <c r="B4" i="2"/>
  <c r="C8" i="10" l="1"/>
  <c r="E6" i="10"/>
  <c r="E5" i="10"/>
  <c r="F4" i="10"/>
  <c r="F4" i="9"/>
  <c r="E5" i="9"/>
  <c r="K21" i="8"/>
  <c r="E21" i="8"/>
  <c r="G21" i="8"/>
  <c r="I21" i="8"/>
  <c r="L21" i="8"/>
  <c r="N21" i="8"/>
  <c r="F21" i="8"/>
  <c r="H21" i="8"/>
  <c r="M21" i="8"/>
  <c r="D21" i="8"/>
  <c r="C8" i="8" s="1"/>
  <c r="J21" i="8"/>
  <c r="F4" i="8"/>
  <c r="E22" i="8"/>
  <c r="E10" i="7"/>
  <c r="E9" i="7"/>
  <c r="E8" i="7"/>
  <c r="E7" i="7"/>
  <c r="E6" i="7"/>
  <c r="F4" i="7"/>
  <c r="E42" i="7"/>
  <c r="C10" i="6"/>
  <c r="C9" i="6"/>
  <c r="C7" i="6"/>
  <c r="C15" i="6" s="1"/>
  <c r="C6" i="6"/>
  <c r="F8" i="5"/>
  <c r="E8" i="5"/>
  <c r="F7" i="5"/>
  <c r="E7" i="5"/>
  <c r="F6" i="5"/>
  <c r="E6" i="5"/>
  <c r="B9" i="5"/>
  <c r="F5" i="5"/>
  <c r="E5" i="5"/>
  <c r="G4" i="10" l="1"/>
  <c r="F5" i="10"/>
  <c r="F6" i="10"/>
  <c r="G4" i="9"/>
  <c r="F5" i="9"/>
  <c r="G4" i="8"/>
  <c r="F22" i="8"/>
  <c r="G4" i="7"/>
  <c r="F6" i="7"/>
  <c r="F7" i="7"/>
  <c r="F8" i="7"/>
  <c r="F20" i="7" s="1"/>
  <c r="F9" i="7"/>
  <c r="F10" i="7"/>
  <c r="F42" i="7"/>
  <c r="C35" i="6"/>
  <c r="C17" i="6"/>
  <c r="C32" i="6"/>
  <c r="F30" i="7"/>
  <c r="D30" i="7"/>
  <c r="E30" i="7"/>
  <c r="C8" i="6"/>
  <c r="C14" i="6"/>
  <c r="C5" i="11"/>
  <c r="D15" i="7"/>
  <c r="E15" i="7"/>
  <c r="F15" i="7"/>
  <c r="E19" i="7"/>
  <c r="E20" i="7"/>
  <c r="D21" i="7"/>
  <c r="D23" i="7"/>
  <c r="F23" i="7"/>
  <c r="D24" i="7"/>
  <c r="F22" i="7"/>
  <c r="F19" i="7"/>
  <c r="D20" i="7"/>
  <c r="E23" i="7"/>
  <c r="F24" i="7"/>
  <c r="D39" i="7"/>
  <c r="D19" i="7"/>
  <c r="F21" i="7"/>
  <c r="D22" i="7"/>
  <c r="F39" i="7"/>
  <c r="E21" i="7"/>
  <c r="E24" i="7"/>
  <c r="C39" i="10"/>
  <c r="C7" i="11"/>
  <c r="E22" i="7"/>
  <c r="E39" i="7"/>
  <c r="F9" i="5"/>
  <c r="E9" i="5"/>
  <c r="H4" i="10" l="1"/>
  <c r="G5" i="10"/>
  <c r="G6" i="10"/>
  <c r="H4" i="9"/>
  <c r="G5" i="9"/>
  <c r="G22" i="8"/>
  <c r="H4" i="8"/>
  <c r="H4" i="7"/>
  <c r="G6" i="7"/>
  <c r="G7" i="7"/>
  <c r="G15" i="7" s="1"/>
  <c r="G8" i="7"/>
  <c r="G9" i="7"/>
  <c r="G19" i="7" s="1"/>
  <c r="G10" i="7"/>
  <c r="G30" i="7" s="1"/>
  <c r="G42" i="7"/>
  <c r="C16" i="6"/>
  <c r="C31" i="6"/>
  <c r="C36" i="6" s="1"/>
  <c r="F29" i="7"/>
  <c r="E29" i="7"/>
  <c r="C10" i="13"/>
  <c r="D29" i="7"/>
  <c r="G29" i="7"/>
  <c r="B5" i="2"/>
  <c r="C5" i="2"/>
  <c r="D9" i="5"/>
  <c r="G13" i="7"/>
  <c r="F13" i="7"/>
  <c r="E13" i="7"/>
  <c r="D13" i="7"/>
  <c r="C18" i="6"/>
  <c r="C9" i="11"/>
  <c r="C11" i="11" s="1"/>
  <c r="I4" i="10" l="1"/>
  <c r="H5" i="10"/>
  <c r="H6" i="10"/>
  <c r="I4" i="9"/>
  <c r="H5" i="9"/>
  <c r="I4" i="8"/>
  <c r="H22" i="8"/>
  <c r="I4" i="7"/>
  <c r="H6" i="7"/>
  <c r="H13" i="7" s="1"/>
  <c r="H7" i="7"/>
  <c r="H15" i="7" s="1"/>
  <c r="H8" i="7"/>
  <c r="H9" i="7"/>
  <c r="H19" i="7" s="1"/>
  <c r="H10" i="7"/>
  <c r="H42" i="7"/>
  <c r="G39" i="7"/>
  <c r="G20" i="7"/>
  <c r="G23" i="7"/>
  <c r="G24" i="7"/>
  <c r="G21" i="7"/>
  <c r="G22" i="7"/>
  <c r="C33" i="6"/>
  <c r="D31" i="7"/>
  <c r="H31" i="7"/>
  <c r="G31" i="7"/>
  <c r="E31" i="7"/>
  <c r="F31" i="7"/>
  <c r="B18" i="2"/>
  <c r="G14" i="7"/>
  <c r="G16" i="7" s="1"/>
  <c r="F14" i="7"/>
  <c r="F16" i="7" s="1"/>
  <c r="E14" i="7"/>
  <c r="E16" i="7"/>
  <c r="D14" i="7"/>
  <c r="D16" i="7" s="1"/>
  <c r="C20" i="6"/>
  <c r="C11" i="13"/>
  <c r="C24" i="6"/>
  <c r="C19" i="2"/>
  <c r="C9" i="10"/>
  <c r="H14" i="7" l="1"/>
  <c r="H16" i="7"/>
  <c r="J4" i="10"/>
  <c r="I5" i="10"/>
  <c r="I6" i="10"/>
  <c r="J4" i="9"/>
  <c r="I5" i="9"/>
  <c r="J4" i="8"/>
  <c r="I22" i="8"/>
  <c r="J4" i="7"/>
  <c r="I6" i="7"/>
  <c r="I13" i="7" s="1"/>
  <c r="I7" i="7"/>
  <c r="I15" i="7" s="1"/>
  <c r="I8" i="7"/>
  <c r="I9" i="7"/>
  <c r="I19" i="7" s="1"/>
  <c r="I10" i="7"/>
  <c r="I32" i="7" s="1"/>
  <c r="I42" i="7"/>
  <c r="H39" i="7"/>
  <c r="H21" i="7"/>
  <c r="H24" i="7"/>
  <c r="H22" i="7"/>
  <c r="H23" i="7"/>
  <c r="H20" i="7"/>
  <c r="H29" i="7"/>
  <c r="H30" i="7"/>
  <c r="H25" i="7"/>
  <c r="G25" i="7"/>
  <c r="G26" i="7" s="1"/>
  <c r="F25" i="7"/>
  <c r="F26" i="7" s="1"/>
  <c r="E25" i="7"/>
  <c r="E26" i="7" s="1"/>
  <c r="D25" i="7"/>
  <c r="D26" i="7" s="1"/>
  <c r="C25" i="6"/>
  <c r="C34" i="6"/>
  <c r="C37" i="6" s="1"/>
  <c r="F32" i="7"/>
  <c r="E32" i="7"/>
  <c r="G32" i="7"/>
  <c r="D32" i="7"/>
  <c r="C14" i="11" s="1"/>
  <c r="H32" i="7"/>
  <c r="C17" i="2"/>
  <c r="B15" i="12"/>
  <c r="C26" i="6"/>
  <c r="C22" i="11" s="1"/>
  <c r="C23" i="2" s="1"/>
  <c r="K4" i="10" l="1"/>
  <c r="J5" i="10"/>
  <c r="J6" i="10"/>
  <c r="K4" i="9"/>
  <c r="J5" i="9"/>
  <c r="J22" i="8"/>
  <c r="K4" i="8"/>
  <c r="K4" i="7"/>
  <c r="J6" i="7"/>
  <c r="J13" i="7" s="1"/>
  <c r="J7" i="7"/>
  <c r="J15" i="7" s="1"/>
  <c r="J8" i="7"/>
  <c r="J9" i="7"/>
  <c r="J19" i="7" s="1"/>
  <c r="J10" i="7"/>
  <c r="J42" i="7"/>
  <c r="I14" i="7"/>
  <c r="I16" i="7" s="1"/>
  <c r="I20" i="7"/>
  <c r="I39" i="7"/>
  <c r="I24" i="7"/>
  <c r="I22" i="7"/>
  <c r="I23" i="7"/>
  <c r="I21" i="7"/>
  <c r="I31" i="7"/>
  <c r="I29" i="7"/>
  <c r="I30" i="7"/>
  <c r="F36" i="7"/>
  <c r="F38" i="7" s="1"/>
  <c r="F35" i="7"/>
  <c r="F37" i="7" s="1"/>
  <c r="E36" i="7"/>
  <c r="E38" i="7" s="1"/>
  <c r="E35" i="7"/>
  <c r="E37" i="7" s="1"/>
  <c r="E41" i="7"/>
  <c r="E40" i="7"/>
  <c r="D35" i="7"/>
  <c r="D37" i="7" s="1"/>
  <c r="D36" i="7"/>
  <c r="D38" i="7" s="1"/>
  <c r="C38" i="6"/>
  <c r="C19" i="11" s="1"/>
  <c r="C22" i="2" s="1"/>
  <c r="C18" i="2"/>
  <c r="C16" i="11"/>
  <c r="C15" i="11"/>
  <c r="C20" i="2"/>
  <c r="G35" i="7"/>
  <c r="G37" i="7" s="1"/>
  <c r="G36" i="7"/>
  <c r="G38" i="7" s="1"/>
  <c r="H26" i="7"/>
  <c r="L4" i="10" l="1"/>
  <c r="K5" i="10"/>
  <c r="K6" i="10"/>
  <c r="L4" i="9"/>
  <c r="K5" i="9"/>
  <c r="L4" i="8"/>
  <c r="K22" i="8"/>
  <c r="L4" i="7"/>
  <c r="K6" i="7"/>
  <c r="K13" i="7" s="1"/>
  <c r="K7" i="7"/>
  <c r="K15" i="7" s="1"/>
  <c r="K8" i="7"/>
  <c r="K9" i="7"/>
  <c r="K19" i="7" s="1"/>
  <c r="K10" i="7"/>
  <c r="K42" i="7"/>
  <c r="J14" i="7"/>
  <c r="J16" i="7" s="1"/>
  <c r="J39" i="7"/>
  <c r="J24" i="7"/>
  <c r="J22" i="7"/>
  <c r="J23" i="7"/>
  <c r="J21" i="7"/>
  <c r="J20" i="7"/>
  <c r="J32" i="7"/>
  <c r="J31" i="7"/>
  <c r="J29" i="7"/>
  <c r="J30" i="7"/>
  <c r="I25" i="7"/>
  <c r="I26" i="7" s="1"/>
  <c r="F41" i="7"/>
  <c r="F40" i="7"/>
  <c r="D40" i="7"/>
  <c r="C11" i="8"/>
  <c r="C38" i="10"/>
  <c r="D41" i="7"/>
  <c r="C21" i="2"/>
  <c r="B14" i="12"/>
  <c r="G40" i="7"/>
  <c r="G41" i="7"/>
  <c r="H35" i="7"/>
  <c r="H37" i="7" s="1"/>
  <c r="H36" i="7"/>
  <c r="H38" i="7" s="1"/>
  <c r="M4" i="10" l="1"/>
  <c r="L5" i="10"/>
  <c r="L6" i="10"/>
  <c r="M4" i="9"/>
  <c r="L5" i="9"/>
  <c r="M4" i="8"/>
  <c r="L22" i="8"/>
  <c r="M4" i="7"/>
  <c r="L6" i="7"/>
  <c r="L13" i="7" s="1"/>
  <c r="L7" i="7"/>
  <c r="L15" i="7" s="1"/>
  <c r="L8" i="7"/>
  <c r="L9" i="7"/>
  <c r="L19" i="7" s="1"/>
  <c r="L10" i="7"/>
  <c r="L42" i="7"/>
  <c r="K14" i="7"/>
  <c r="K16" i="7" s="1"/>
  <c r="K39" i="7"/>
  <c r="K24" i="7"/>
  <c r="K20" i="7"/>
  <c r="K22" i="7"/>
  <c r="K21" i="7"/>
  <c r="K23" i="7"/>
  <c r="K32" i="7"/>
  <c r="K31" i="7"/>
  <c r="K29" i="7"/>
  <c r="K30" i="7"/>
  <c r="J25" i="7"/>
  <c r="J26" i="7" s="1"/>
  <c r="C10" i="8"/>
  <c r="C12" i="8" s="1"/>
  <c r="B6" i="2"/>
  <c r="C6" i="2"/>
  <c r="H40" i="7"/>
  <c r="H41" i="7"/>
  <c r="I35" i="7"/>
  <c r="I37" i="7" s="1"/>
  <c r="I36" i="7"/>
  <c r="I38" i="7" s="1"/>
  <c r="N4" i="10" l="1"/>
  <c r="M5" i="10"/>
  <c r="M6" i="10"/>
  <c r="N4" i="9"/>
  <c r="N5" i="9" s="1"/>
  <c r="M5" i="9"/>
  <c r="N4" i="8"/>
  <c r="N22" i="8" s="1"/>
  <c r="M22" i="8"/>
  <c r="N4" i="7"/>
  <c r="M6" i="7"/>
  <c r="M13" i="7" s="1"/>
  <c r="M7" i="7"/>
  <c r="M15" i="7" s="1"/>
  <c r="M8" i="7"/>
  <c r="M9" i="7"/>
  <c r="M19" i="7" s="1"/>
  <c r="M10" i="7"/>
  <c r="M42" i="7"/>
  <c r="L14" i="7"/>
  <c r="L16" i="7" s="1"/>
  <c r="L39" i="7"/>
  <c r="L21" i="7"/>
  <c r="L23" i="7"/>
  <c r="L20" i="7"/>
  <c r="L24" i="7"/>
  <c r="L22" i="7"/>
  <c r="L32" i="7"/>
  <c r="L31" i="7"/>
  <c r="L29" i="7"/>
  <c r="L30" i="7"/>
  <c r="K25" i="7"/>
  <c r="K26" i="7" s="1"/>
  <c r="D23" i="8"/>
  <c r="C7" i="2"/>
  <c r="B7" i="2"/>
  <c r="C14" i="8"/>
  <c r="B5" i="12"/>
  <c r="C15" i="10"/>
  <c r="C13" i="8"/>
  <c r="C6" i="13"/>
  <c r="I40" i="7"/>
  <c r="I41" i="7"/>
  <c r="J35" i="7"/>
  <c r="J37" i="7" s="1"/>
  <c r="J36" i="7"/>
  <c r="J38" i="7" s="1"/>
  <c r="N5" i="10" l="1"/>
  <c r="N6" i="10"/>
  <c r="N14" i="9"/>
  <c r="N15" i="9"/>
  <c r="N16" i="9"/>
  <c r="N17" i="9"/>
  <c r="N26" i="9"/>
  <c r="N27" i="9"/>
  <c r="N28" i="9"/>
  <c r="N29" i="9"/>
  <c r="C14" i="13"/>
  <c r="N6" i="7"/>
  <c r="N13" i="7" s="1"/>
  <c r="N7" i="7"/>
  <c r="N15" i="7" s="1"/>
  <c r="N8" i="7"/>
  <c r="N9" i="7"/>
  <c r="N19" i="7" s="1"/>
  <c r="N10" i="7"/>
  <c r="N42" i="7"/>
  <c r="M14" i="7"/>
  <c r="M16" i="7" s="1"/>
  <c r="M24" i="7"/>
  <c r="M23" i="7"/>
  <c r="M20" i="7"/>
  <c r="M39" i="7"/>
  <c r="M22" i="7"/>
  <c r="M21" i="7"/>
  <c r="M32" i="7"/>
  <c r="M31" i="7"/>
  <c r="M29" i="7"/>
  <c r="M30" i="7"/>
  <c r="L25" i="7"/>
  <c r="L26" i="7" s="1"/>
  <c r="D11" i="9"/>
  <c r="D23" i="9"/>
  <c r="D26" i="8"/>
  <c r="D24" i="8"/>
  <c r="D25" i="8" s="1"/>
  <c r="D27" i="8"/>
  <c r="B8" i="2"/>
  <c r="C8" i="2"/>
  <c r="B9" i="2"/>
  <c r="C9" i="2"/>
  <c r="J40" i="7"/>
  <c r="J41" i="7"/>
  <c r="K35" i="7"/>
  <c r="K37" i="7" s="1"/>
  <c r="K36" i="7"/>
  <c r="K38" i="7" s="1"/>
  <c r="C16" i="10"/>
  <c r="C11" i="10"/>
  <c r="C10" i="10"/>
  <c r="N14" i="7" l="1"/>
  <c r="N16" i="7" s="1"/>
  <c r="N24" i="7"/>
  <c r="N39" i="7"/>
  <c r="N23" i="7"/>
  <c r="N22" i="7"/>
  <c r="N21" i="7"/>
  <c r="N20" i="7"/>
  <c r="N32" i="7"/>
  <c r="N31" i="7"/>
  <c r="N29" i="7"/>
  <c r="N30" i="7"/>
  <c r="M25" i="7"/>
  <c r="M26" i="7" s="1"/>
  <c r="D13" i="9"/>
  <c r="D17" i="9" s="1"/>
  <c r="D12" i="9"/>
  <c r="D15" i="9"/>
  <c r="D27" i="9"/>
  <c r="D25" i="9"/>
  <c r="D29" i="9" s="1"/>
  <c r="D24" i="9"/>
  <c r="E23" i="8"/>
  <c r="D20" i="9"/>
  <c r="D8" i="9"/>
  <c r="D28" i="8"/>
  <c r="D29" i="8" s="1"/>
  <c r="K40" i="7"/>
  <c r="K41" i="7"/>
  <c r="L35" i="7"/>
  <c r="L37" i="7" s="1"/>
  <c r="L36" i="7"/>
  <c r="L38" i="7" s="1"/>
  <c r="C17" i="10"/>
  <c r="C19" i="10" s="1"/>
  <c r="C18" i="10"/>
  <c r="N25" i="7" l="1"/>
  <c r="N26" i="7" s="1"/>
  <c r="E11" i="9"/>
  <c r="E23" i="9"/>
  <c r="E26" i="8"/>
  <c r="E27" i="8" s="1"/>
  <c r="E24" i="8"/>
  <c r="E25" i="8" s="1"/>
  <c r="D22" i="9"/>
  <c r="D28" i="9" s="1"/>
  <c r="D21" i="9"/>
  <c r="D26" i="9"/>
  <c r="D10" i="9"/>
  <c r="D16" i="9" s="1"/>
  <c r="D9" i="9"/>
  <c r="D14" i="9"/>
  <c r="L40" i="7"/>
  <c r="L41" i="7"/>
  <c r="C5" i="13"/>
  <c r="C10" i="2"/>
  <c r="C4" i="13"/>
  <c r="B10" i="2"/>
  <c r="M36" i="7"/>
  <c r="M38" i="7" s="1"/>
  <c r="M35" i="7"/>
  <c r="M37" i="7" s="1"/>
  <c r="N36" i="7" l="1"/>
  <c r="N38" i="7" s="1"/>
  <c r="N35" i="7"/>
  <c r="N37" i="7" s="1"/>
  <c r="N40" i="7"/>
  <c r="C22" i="10"/>
  <c r="C23" i="10" s="1"/>
  <c r="E13" i="9"/>
  <c r="E17" i="9" s="1"/>
  <c r="E12" i="9"/>
  <c r="E15" i="9"/>
  <c r="E25" i="9"/>
  <c r="E29" i="9" s="1"/>
  <c r="E24" i="9"/>
  <c r="E27" i="9"/>
  <c r="F23" i="8"/>
  <c r="E8" i="9"/>
  <c r="E20" i="9"/>
  <c r="E28" i="8"/>
  <c r="E29" i="8" s="1"/>
  <c r="M41" i="7"/>
  <c r="M40" i="7"/>
  <c r="C25" i="10" l="1"/>
  <c r="C26" i="10" s="1"/>
  <c r="N41" i="7"/>
  <c r="C24" i="10"/>
  <c r="B16" i="2"/>
  <c r="F23" i="9"/>
  <c r="F11" i="9"/>
  <c r="F24" i="8"/>
  <c r="E10" i="9"/>
  <c r="E16" i="9" s="1"/>
  <c r="E9" i="9"/>
  <c r="E14" i="9"/>
  <c r="E22" i="9"/>
  <c r="E28" i="9" s="1"/>
  <c r="E21" i="9"/>
  <c r="E26" i="9"/>
  <c r="C27" i="10" l="1"/>
  <c r="C17" i="11"/>
  <c r="B13" i="12"/>
  <c r="C16" i="2"/>
  <c r="N9" i="10"/>
  <c r="L8" i="10"/>
  <c r="K8" i="10"/>
  <c r="J8" i="10"/>
  <c r="I8" i="10"/>
  <c r="H8" i="10"/>
  <c r="F8" i="10"/>
  <c r="F10" i="10" s="1"/>
  <c r="G8" i="10"/>
  <c r="D8" i="10"/>
  <c r="E8" i="10"/>
  <c r="E10" i="10" s="1"/>
  <c r="F25" i="9"/>
  <c r="F29" i="9" s="1"/>
  <c r="F24" i="9"/>
  <c r="F27" i="9"/>
  <c r="F13" i="9"/>
  <c r="F17" i="9" s="1"/>
  <c r="F12" i="9"/>
  <c r="F15" i="9"/>
  <c r="F26" i="8"/>
  <c r="F25" i="8"/>
  <c r="M8" i="10"/>
  <c r="N8" i="10"/>
  <c r="M9" i="10" l="1"/>
  <c r="L9" i="10"/>
  <c r="K9" i="10"/>
  <c r="J9" i="10"/>
  <c r="I9" i="10"/>
  <c r="H9" i="10"/>
  <c r="D9" i="10"/>
  <c r="G9" i="10"/>
  <c r="F9" i="10"/>
  <c r="F11" i="10" s="1"/>
  <c r="E9" i="10"/>
  <c r="E11" i="10" s="1"/>
  <c r="D10" i="10"/>
  <c r="C30" i="10"/>
  <c r="B13" i="2" s="1"/>
  <c r="F27" i="8"/>
  <c r="G23" i="8"/>
  <c r="F8" i="9"/>
  <c r="F20" i="9"/>
  <c r="F28" i="8"/>
  <c r="F29" i="8" s="1"/>
  <c r="D11" i="10" l="1"/>
  <c r="C34" i="10"/>
  <c r="C13" i="2" s="1"/>
  <c r="G23" i="9"/>
  <c r="G11" i="9"/>
  <c r="G24" i="8"/>
  <c r="F10" i="9"/>
  <c r="F16" i="9" s="1"/>
  <c r="F9" i="9"/>
  <c r="F14" i="9"/>
  <c r="F22" i="9"/>
  <c r="F28" i="9" s="1"/>
  <c r="F21" i="9"/>
  <c r="F26" i="9"/>
  <c r="G25" i="9" l="1"/>
  <c r="G29" i="9" s="1"/>
  <c r="G24" i="9"/>
  <c r="G27" i="9"/>
  <c r="G13" i="9"/>
  <c r="G17" i="9" s="1"/>
  <c r="G12" i="9"/>
  <c r="G15" i="9"/>
  <c r="G26" i="8"/>
  <c r="G25" i="8"/>
  <c r="G27" i="8" l="1"/>
  <c r="G28" i="8" s="1"/>
  <c r="G29" i="8" s="1"/>
  <c r="H23" i="8"/>
  <c r="G11" i="10"/>
  <c r="G10" i="10"/>
  <c r="G20" i="9"/>
  <c r="G8" i="9"/>
  <c r="H23" i="9" l="1"/>
  <c r="H11" i="9"/>
  <c r="H24" i="8"/>
  <c r="G22" i="9"/>
  <c r="G28" i="9" s="1"/>
  <c r="G21" i="9"/>
  <c r="G26" i="9"/>
  <c r="G10" i="9"/>
  <c r="G16" i="9" s="1"/>
  <c r="G9" i="9"/>
  <c r="G14" i="9"/>
  <c r="H25" i="9" l="1"/>
  <c r="H29" i="9" s="1"/>
  <c r="H24" i="9"/>
  <c r="H27" i="9"/>
  <c r="H13" i="9"/>
  <c r="H17" i="9" s="1"/>
  <c r="H12" i="9"/>
  <c r="H15" i="9"/>
  <c r="H26" i="8"/>
  <c r="H25" i="8"/>
  <c r="H27" i="8" l="1"/>
  <c r="H28" i="8" s="1"/>
  <c r="H29" i="8" s="1"/>
  <c r="I23" i="8"/>
  <c r="H11" i="10"/>
  <c r="H10" i="10"/>
  <c r="H20" i="9"/>
  <c r="H8" i="9"/>
  <c r="I23" i="9" l="1"/>
  <c r="I11" i="9"/>
  <c r="I24" i="8"/>
  <c r="H22" i="9"/>
  <c r="H28" i="9" s="1"/>
  <c r="H21" i="9"/>
  <c r="H26" i="9"/>
  <c r="H10" i="9"/>
  <c r="H16" i="9" s="1"/>
  <c r="H9" i="9"/>
  <c r="H14" i="9"/>
  <c r="I25" i="9" l="1"/>
  <c r="I29" i="9" s="1"/>
  <c r="I24" i="9"/>
  <c r="I27" i="9"/>
  <c r="I13" i="9"/>
  <c r="I17" i="9" s="1"/>
  <c r="I12" i="9"/>
  <c r="I15" i="9"/>
  <c r="I26" i="8"/>
  <c r="I25" i="8"/>
  <c r="I27" i="8" l="1"/>
  <c r="I28" i="8" s="1"/>
  <c r="I29" i="8" s="1"/>
  <c r="J23" i="8"/>
  <c r="I11" i="10"/>
  <c r="I10" i="10"/>
  <c r="I20" i="9"/>
  <c r="I8" i="9"/>
  <c r="J23" i="9" l="1"/>
  <c r="J11" i="9"/>
  <c r="J24" i="8"/>
  <c r="I22" i="9"/>
  <c r="I28" i="9" s="1"/>
  <c r="I21" i="9"/>
  <c r="I26" i="9"/>
  <c r="I10" i="9"/>
  <c r="I16" i="9" s="1"/>
  <c r="I9" i="9"/>
  <c r="I14" i="9"/>
  <c r="J25" i="9" l="1"/>
  <c r="J29" i="9" s="1"/>
  <c r="J24" i="9"/>
  <c r="J27" i="9"/>
  <c r="J13" i="9"/>
  <c r="J17" i="9" s="1"/>
  <c r="J12" i="9"/>
  <c r="J15" i="9"/>
  <c r="J26" i="8"/>
  <c r="J25" i="8"/>
  <c r="J27" i="8" l="1"/>
  <c r="J28" i="8" s="1"/>
  <c r="J29" i="8" s="1"/>
  <c r="K23" i="8"/>
  <c r="J11" i="10"/>
  <c r="J10" i="10"/>
  <c r="J20" i="9"/>
  <c r="J8" i="9"/>
  <c r="K23" i="9" l="1"/>
  <c r="K11" i="9"/>
  <c r="K24" i="8"/>
  <c r="J22" i="9"/>
  <c r="J28" i="9" s="1"/>
  <c r="J21" i="9"/>
  <c r="J26" i="9"/>
  <c r="J10" i="9"/>
  <c r="J16" i="9" s="1"/>
  <c r="J9" i="9"/>
  <c r="J14" i="9"/>
  <c r="K25" i="9" l="1"/>
  <c r="K29" i="9" s="1"/>
  <c r="K24" i="9"/>
  <c r="K27" i="9"/>
  <c r="K13" i="9"/>
  <c r="K17" i="9" s="1"/>
  <c r="K12" i="9"/>
  <c r="K15" i="9"/>
  <c r="K26" i="8"/>
  <c r="K25" i="8"/>
  <c r="K27" i="8" l="1"/>
  <c r="L23" i="8"/>
  <c r="K11" i="10"/>
  <c r="K10" i="10"/>
  <c r="K20" i="9"/>
  <c r="K8" i="9"/>
  <c r="K28" i="8"/>
  <c r="K29" i="8" s="1"/>
  <c r="L23" i="9" l="1"/>
  <c r="L11" i="9"/>
  <c r="L24" i="8"/>
  <c r="K22" i="9"/>
  <c r="K28" i="9" s="1"/>
  <c r="K21" i="9"/>
  <c r="K26" i="9"/>
  <c r="K10" i="9"/>
  <c r="K16" i="9" s="1"/>
  <c r="K9" i="9"/>
  <c r="K14" i="9"/>
  <c r="L25" i="9" l="1"/>
  <c r="L29" i="9" s="1"/>
  <c r="L24" i="9"/>
  <c r="L27" i="9"/>
  <c r="L13" i="9"/>
  <c r="L17" i="9" s="1"/>
  <c r="L12" i="9"/>
  <c r="L15" i="9"/>
  <c r="L26" i="8"/>
  <c r="L25" i="8"/>
  <c r="L27" i="8" l="1"/>
  <c r="L28" i="8" s="1"/>
  <c r="L29" i="8" s="1"/>
  <c r="M23" i="8"/>
  <c r="L11" i="10"/>
  <c r="L10" i="10"/>
  <c r="L20" i="9"/>
  <c r="L8" i="9"/>
  <c r="M11" i="9" l="1"/>
  <c r="M23" i="9"/>
  <c r="M24" i="8"/>
  <c r="L22" i="9"/>
  <c r="L28" i="9" s="1"/>
  <c r="L21" i="9"/>
  <c r="L26" i="9"/>
  <c r="L10" i="9"/>
  <c r="L16" i="9" s="1"/>
  <c r="L9" i="9"/>
  <c r="L14" i="9"/>
  <c r="M13" i="9" l="1"/>
  <c r="M17" i="9" s="1"/>
  <c r="M12" i="9"/>
  <c r="M15" i="9"/>
  <c r="C33" i="9" s="1"/>
  <c r="M25" i="9"/>
  <c r="M29" i="9" s="1"/>
  <c r="M24" i="9"/>
  <c r="M27" i="9"/>
  <c r="C36" i="9" s="1"/>
  <c r="C12" i="2" s="1"/>
  <c r="M26" i="8"/>
  <c r="M25" i="8"/>
  <c r="B12" i="2" l="1"/>
  <c r="B8" i="12"/>
  <c r="M27" i="8"/>
  <c r="M28" i="8" s="1"/>
  <c r="M29" i="8" s="1"/>
  <c r="N23" i="8"/>
  <c r="M11" i="10"/>
  <c r="M10" i="10"/>
  <c r="M8" i="9"/>
  <c r="M20" i="9"/>
  <c r="N23" i="9" l="1"/>
  <c r="N11" i="9"/>
  <c r="N24" i="8"/>
  <c r="M10" i="9"/>
  <c r="M16" i="9" s="1"/>
  <c r="C34" i="9" s="1"/>
  <c r="B9" i="12" s="1"/>
  <c r="M9" i="9"/>
  <c r="M14" i="9"/>
  <c r="C32" i="9" s="1"/>
  <c r="M22" i="9"/>
  <c r="M28" i="9" s="1"/>
  <c r="C37" i="9" s="1"/>
  <c r="M21" i="9"/>
  <c r="M26" i="9"/>
  <c r="C35" i="9" s="1"/>
  <c r="N25" i="9" l="1"/>
  <c r="N24" i="9"/>
  <c r="N13" i="9"/>
  <c r="N12" i="9"/>
  <c r="N26" i="8"/>
  <c r="N25" i="8"/>
  <c r="B11" i="2"/>
  <c r="B6" i="12"/>
  <c r="C11" i="2"/>
  <c r="B7" i="12"/>
  <c r="N27" i="8" l="1"/>
  <c r="N28" i="8" s="1"/>
  <c r="N29" i="8" s="1"/>
  <c r="C8" i="13" s="1"/>
  <c r="C7" i="13"/>
  <c r="N20" i="9"/>
  <c r="N10" i="10"/>
  <c r="N11" i="10"/>
  <c r="N8" i="9"/>
  <c r="N22" i="9" l="1"/>
  <c r="N21" i="9"/>
  <c r="C31" i="10"/>
  <c r="C32" i="10"/>
  <c r="B15" i="2" s="1"/>
  <c r="C36" i="10"/>
  <c r="C35" i="10"/>
  <c r="N10" i="9"/>
  <c r="N9" i="9"/>
  <c r="C33" i="10" l="1"/>
  <c r="C12" i="13" s="1"/>
  <c r="B10" i="12"/>
  <c r="B14" i="2"/>
  <c r="B12" i="12"/>
  <c r="C15" i="2"/>
  <c r="C37" i="10"/>
  <c r="C13" i="13" s="1"/>
  <c r="C18" i="11"/>
  <c r="B11" i="12"/>
  <c r="C14" i="2"/>
  <c r="C16" i="13" l="1"/>
  <c r="B5" i="1" s="1"/>
</calcChain>
</file>

<file path=xl/sharedStrings.xml><?xml version="1.0" encoding="utf-8"?>
<sst xmlns="http://schemas.openxmlformats.org/spreadsheetml/2006/main" count="1058" uniqueCount="488">
  <si>
    <t>Multifamily acquisition and decarbonization retrofit</t>
  </si>
  <si>
    <t>150 units, Washington DC (illustrative). Status quo against an electrification + solar retrofit.</t>
  </si>
  <si>
    <t>Status</t>
  </si>
  <si>
    <t>Illustrative underwriting case built on public benchmarks. Not a real property, transaction or offer; no proprietary data.</t>
  </si>
  <si>
    <t>Model checks</t>
  </si>
  <si>
    <t>Code version</t>
  </si>
  <si>
    <t>uncommitted</t>
  </si>
  <si>
    <t>Inputs fingerprint</t>
  </si>
  <si>
    <t>b49b9c9c6063</t>
  </si>
  <si>
    <t>Data retrieved</t>
  </si>
  <si>
    <t>2026-10-15</t>
  </si>
  <si>
    <t>Colour convention</t>
  </si>
  <si>
    <t>Blue on yellow = input (Inputs tab only). Green = formula reading another tab or a named input. Black = formula on the same tab.</t>
  </si>
  <si>
    <t>Periods</t>
  </si>
  <si>
    <t>Annual. Year 1 starts at closing.</t>
  </si>
  <si>
    <t>Tabs</t>
  </si>
  <si>
    <t>Summary</t>
  </si>
  <si>
    <t>Key outputs, status quo against the retrofit case</t>
  </si>
  <si>
    <t>Inputs</t>
  </si>
  <si>
    <t>Every assumption with its tag (Sourced / Estimated / Illustrative / Definition) and source id</t>
  </si>
  <si>
    <t>Sources</t>
  </si>
  <si>
    <t>Citations, URLs and retrieval dates</t>
  </si>
  <si>
    <t>RentRoll</t>
  </si>
  <si>
    <t>Unit mix and year-1 gross potential rent</t>
  </si>
  <si>
    <t>Energy</t>
  </si>
  <si>
    <t>Energy by end use before and after the retrofit; EUI; Scope 1 and 2 emissions</t>
  </si>
  <si>
    <t>Operating</t>
  </si>
  <si>
    <t>Eleven-year operating statement for both cases (year 11 feeds the exit value)</t>
  </si>
  <si>
    <t>Debt</t>
  </si>
  <si>
    <t>Loan sizing (LTV, DSCR and debt-yield limits) and the amortisation schedule</t>
  </si>
  <si>
    <t>Covenants</t>
  </si>
  <si>
    <t>DSCR and debt yield by year against cash-trap and default levels, with headroom</t>
  </si>
  <si>
    <t>Returns</t>
  </si>
  <si>
    <t>Sources and uses, exit value, unlevered and levered cash flows, IRR and multiple</t>
  </si>
  <si>
    <t>Retrofit</t>
  </si>
  <si>
    <t>Retrofit capex, payback, value impact, cost per tonne and BEPS position</t>
  </si>
  <si>
    <t>Scenarios</t>
  </si>
  <si>
    <t>Base / Downside / Severe (loan held at close), one-factor sensitivities, break-even vacancy</t>
  </si>
  <si>
    <t>Checks</t>
  </si>
  <si>
    <t>Integrity checks; the Cover shows whether all pass</t>
  </si>
  <si>
    <t>Metric</t>
  </si>
  <si>
    <t>Status quo</t>
  </si>
  <si>
    <t>Unit</t>
  </si>
  <si>
    <t>Purchase price</t>
  </si>
  <si>
    <t>$</t>
  </si>
  <si>
    <t>Price per unit</t>
  </si>
  <si>
    <t>Going-in cap rate</t>
  </si>
  <si>
    <t>%</t>
  </si>
  <si>
    <t>Loan amount</t>
  </si>
  <si>
    <t>Loan to value</t>
  </si>
  <si>
    <t>Binding sizing test</t>
  </si>
  <si>
    <t>Equity</t>
  </si>
  <si>
    <t>Minimum DSCR over hold</t>
  </si>
  <si>
    <t>x</t>
  </si>
  <si>
    <t>Minimum debt yield over hold</t>
  </si>
  <si>
    <t>Unlevered IRR</t>
  </si>
  <si>
    <t>Levered IRR</t>
  </si>
  <si>
    <t>Equity multiple</t>
  </si>
  <si>
    <t>Gross exit value</t>
  </si>
  <si>
    <t>Site EUI</t>
  </si>
  <si>
    <t>kBtu/sf</t>
  </si>
  <si>
    <t>Owner Scope 1 + 2 emissions</t>
  </si>
  <si>
    <t>tCO2e/yr</t>
  </si>
  <si>
    <t>Net retrofit capex</t>
  </si>
  <si>
    <t>Owner utility savings, year 1</t>
  </si>
  <si>
    <t>Simple payback</t>
  </si>
  <si>
    <t>years</t>
  </si>
  <si>
    <t>Cost per tonne avoided</t>
  </si>
  <si>
    <t>$/tCO2e</t>
  </si>
  <si>
    <t>Meets DC BEPS 20% pathway</t>
  </si>
  <si>
    <t>Every assumption in the model, once. Tag: Sourced = read from the cited public source; Estimated = analyst assumption anchored to a source; Illustrative = deal definition; Definition = unit conversion.</t>
  </si>
  <si>
    <t>Stress cases: the live value in column C follows Case_Select (1 = Base, 2 = Downside, 3 = Severe)</t>
  </si>
  <si>
    <t>Section</t>
  </si>
  <si>
    <t>Input</t>
  </si>
  <si>
    <t>Value</t>
  </si>
  <si>
    <t>Tag</t>
  </si>
  <si>
    <t>Source id</t>
  </si>
  <si>
    <t>Note</t>
  </si>
  <si>
    <t>Base</t>
  </si>
  <si>
    <t>Downside</t>
  </si>
  <si>
    <t>Severe</t>
  </si>
  <si>
    <t>Rent roll</t>
  </si>
  <si>
    <t>Studio units</t>
  </si>
  <si>
    <t>units</t>
  </si>
  <si>
    <t>Illustrative</t>
  </si>
  <si>
    <t>asset</t>
  </si>
  <si>
    <t>One-bedroom units</t>
  </si>
  <si>
    <t>Two-bedroom units</t>
  </si>
  <si>
    <t>Three-bedroom units</t>
  </si>
  <si>
    <t>Studio average size</t>
  </si>
  <si>
    <t>sf</t>
  </si>
  <si>
    <t>One-bedroom average size</t>
  </si>
  <si>
    <t>Two-bedroom average size</t>
  </si>
  <si>
    <t>Three-bedroom average size</t>
  </si>
  <si>
    <t>Studio in-place rent</t>
  </si>
  <si>
    <t>$/month</t>
  </si>
  <si>
    <t>Estimated</t>
  </si>
  <si>
    <t>hud_safmr_fy2026</t>
  </si>
  <si>
    <t>Set inside the FY2026 DC SAFMR range</t>
  </si>
  <si>
    <t>One-bedroom in-place rent</t>
  </si>
  <si>
    <t>Two-bedroom in-place rent</t>
  </si>
  <si>
    <t>DC ZIP 2BR SAFMRs run $2,030-$2,620</t>
  </si>
  <si>
    <t>Three-bedroom in-place rent</t>
  </si>
  <si>
    <t>Gross floor area (for EUI)</t>
  </si>
  <si>
    <t>Net rentable ~119k sf; ~80% efficiency</t>
  </si>
  <si>
    <t>Revenue and growth</t>
  </si>
  <si>
    <t>Vacancy and credit loss</t>
  </si>
  <si>
    <t>% of GPR</t>
  </si>
  <si>
    <t>analyst</t>
  </si>
  <si>
    <t>Other income (parking</t>
  </si>
  <si>
    <t>$/unit/yr</t>
  </si>
  <si>
    <t>Rent growth</t>
  </si>
  <si>
    <t>%/yr</t>
  </si>
  <si>
    <t>Other income growth</t>
  </si>
  <si>
    <t>Operating expense growth</t>
  </si>
  <si>
    <t>Assessed value growth</t>
  </si>
  <si>
    <t>Utility price growth (gas and power)</t>
  </si>
  <si>
    <t>Operating expenses</t>
  </si>
  <si>
    <t>Assessed value</t>
  </si>
  <si>
    <t>$/unit</t>
  </si>
  <si>
    <t>Kept independent of price so taxes do not loop through the purchase price</t>
  </si>
  <si>
    <t>Real property tax rate (Class 1A)</t>
  </si>
  <si>
    <t>% of assessed</t>
  </si>
  <si>
    <t>Sourced</t>
  </si>
  <si>
    <t>dc_otr_tax</t>
  </si>
  <si>
    <t>Insurance</t>
  </si>
  <si>
    <t>Water and sewer</t>
  </si>
  <si>
    <t>Repairs and maintenance</t>
  </si>
  <si>
    <t>Payroll</t>
  </si>
  <si>
    <t>G&amp;A and marketing</t>
  </si>
  <si>
    <t>Management fee</t>
  </si>
  <si>
    <t>% of EGI</t>
  </si>
  <si>
    <t>Replacement reserves</t>
  </si>
  <si>
    <t>Agency-style underwriting level</t>
  </si>
  <si>
    <t>Boiler replacement (status quo only)</t>
  </si>
  <si>
    <t>Avoided if the plant is electrified</t>
  </si>
  <si>
    <t>Boiler replacement year</t>
  </si>
  <si>
    <t>year</t>
  </si>
  <si>
    <t>Energy baseline</t>
  </si>
  <si>
    <t>Baseline site EUI</t>
  </si>
  <si>
    <t>kBtu/sf/yr</t>
  </si>
  <si>
    <t>estar_median</t>
  </si>
  <si>
    <t>Building assumed at the national multifamily median</t>
  </si>
  <si>
    <t>End-use share: space heating (gas, central)</t>
  </si>
  <si>
    <t>% of site energy</t>
  </si>
  <si>
    <t>recs_2020</t>
  </si>
  <si>
    <t>End-use share: domestic hot water (gas, central)</t>
  </si>
  <si>
    <t>End-use share: common-area electricity (owner-paid)</t>
  </si>
  <si>
    <t>End-use share: in-unit electricity (tenant-paid)</t>
  </si>
  <si>
    <t>Electricity price (commercial</t>
  </si>
  <si>
    <t>$/kWh</t>
  </si>
  <si>
    <t>eia_epa_2_10</t>
  </si>
  <si>
    <t>Natural gas price (commercial</t>
  </si>
  <si>
    <t>$/Mcf</t>
  </si>
  <si>
    <t>eia_ng_dc</t>
  </si>
  <si>
    <t>Natural gas heat content</t>
  </si>
  <si>
    <t>MMBtu/Mcf</t>
  </si>
  <si>
    <t>epa_ef_hub_2025</t>
  </si>
  <si>
    <t>Existing boiler seasonal efficiency</t>
  </si>
  <si>
    <t>ratio</t>
  </si>
  <si>
    <t>Heat pump seasonal COP</t>
  </si>
  <si>
    <t>Air-to-water, mixed-humid climate</t>
  </si>
  <si>
    <t>Heating load reduction from envelope work</t>
  </si>
  <si>
    <t>% of heating load</t>
  </si>
  <si>
    <t>Common-area electricity saved by LEDs and controls</t>
  </si>
  <si>
    <t>% of common kWh</t>
  </si>
  <si>
    <t>Rooftop solar size</t>
  </si>
  <si>
    <t>kWdc</t>
  </si>
  <si>
    <t>~15,000 sf of usable roof</t>
  </si>
  <si>
    <t>Solar specific yield</t>
  </si>
  <si>
    <t>kWh/kWdc/yr</t>
  </si>
  <si>
    <t>pvwatts_v8</t>
  </si>
  <si>
    <t>Rooftop solar installed cost</t>
  </si>
  <si>
    <t>$/Wdc</t>
  </si>
  <si>
    <t>atb_2024b_commercial_pv</t>
  </si>
  <si>
    <t>Solar investment tax credit monetised</t>
  </si>
  <si>
    <t>% of solar capex</t>
  </si>
  <si>
    <t>Eligibility depends on post-2025 federal rules; stressed to 0</t>
  </si>
  <si>
    <t>Central heat pump plant (heat + hot water)</t>
  </si>
  <si>
    <t>Wide uncertainty; the main retrofit sensitivity</t>
  </si>
  <si>
    <t>Envelope and air sealing</t>
  </si>
  <si>
    <t>$/sf GFA</t>
  </si>
  <si>
    <t>LEDs and controls</t>
  </si>
  <si>
    <t>Measure life for $/tCO2e</t>
  </si>
  <si>
    <t>Share of baseline gas kept after electrification</t>
  </si>
  <si>
    <t>0 = heat and hot water fully electrified</t>
  </si>
  <si>
    <t>Emissions</t>
  </si>
  <si>
    <t>Grid emission rate (eGRID2022 RFCE</t>
  </si>
  <si>
    <t>lb CO2e/MWh</t>
  </si>
  <si>
    <t>egrid2022</t>
  </si>
  <si>
    <t>Held flat; grid decarbonisation not modelled</t>
  </si>
  <si>
    <t>Natural gas CO2 factor</t>
  </si>
  <si>
    <t>kg/MMBtu</t>
  </si>
  <si>
    <t>Natural gas CH4 factor</t>
  </si>
  <si>
    <t>g/MMBtu</t>
  </si>
  <si>
    <t>Natural gas N2O factor</t>
  </si>
  <si>
    <t>Global warming potential</t>
  </si>
  <si>
    <t>BEPS performance pathway (site EUI reduction)</t>
  </si>
  <si>
    <t>doee_beps</t>
  </si>
  <si>
    <t>BEPS maximum penalty</t>
  </si>
  <si>
    <t>$/sf</t>
  </si>
  <si>
    <t>BEPS penalty cap</t>
  </si>
  <si>
    <t>Acquisition and exit</t>
  </si>
  <si>
    <t>Buyer closing costs incl. recordation tax</t>
  </si>
  <si>
    <t>% of price</t>
  </si>
  <si>
    <t>Hold period</t>
  </si>
  <si>
    <t>Model columns support holds of 1-10 years</t>
  </si>
  <si>
    <t>Exit cap rate</t>
  </si>
  <si>
    <t>eqr_10k_2025</t>
  </si>
  <si>
    <t>REIT disposition yield 5.4% plus 35 bp for age and hold</t>
  </si>
  <si>
    <t>Selling costs</t>
  </si>
  <si>
    <t>% of gross sale</t>
  </si>
  <si>
    <t>Loan option (1 = fixed, 2 = floating)</t>
  </si>
  <si>
    <t>switch</t>
  </si>
  <si>
    <t>10-year Treasury</t>
  </si>
  <si>
    <t>fred_dgs10</t>
  </si>
  <si>
    <t>Fixed-rate spread over Treasury</t>
  </si>
  <si>
    <t>SOFR</t>
  </si>
  <si>
    <t>fred_sofr</t>
  </si>
  <si>
    <t>Held flat; no forward curve</t>
  </si>
  <si>
    <t>Floating-rate spread over SOFR</t>
  </si>
  <si>
    <t>SOFR shock (base = 0)</t>
  </si>
  <si>
    <t>Amortisation</t>
  </si>
  <si>
    <t>months</t>
  </si>
  <si>
    <t>Interest-only period</t>
  </si>
  <si>
    <t>Maximum loan-to-value</t>
  </si>
  <si>
    <t>Sizing DSCR (on amortising constant)</t>
  </si>
  <si>
    <t>Minimum debt yield at sizing</t>
  </si>
  <si>
    <t>Closed loan amount for stress runs (0 = size the loan)</t>
  </si>
  <si>
    <t>Set to the base loan to stress operations after closing</t>
  </si>
  <si>
    <t>Loan fees</t>
  </si>
  <si>
    <t>% of loan</t>
  </si>
  <si>
    <t>DSCR cash-trap trigger</t>
  </si>
  <si>
    <t>DSCR default covenant</t>
  </si>
  <si>
    <t>Debt-yield cash-trap trigger</t>
  </si>
  <si>
    <t>Debt-yield default covenant</t>
  </si>
  <si>
    <t>Scenario</t>
  </si>
  <si>
    <t>Case shown (1 = Base, 2 = Downside, 3 = Severe)</t>
  </si>
  <si>
    <t>Stress values sit in columns I:K; see the Scenarios tab</t>
  </si>
  <si>
    <t>Conversions</t>
  </si>
  <si>
    <t>Months per year</t>
  </si>
  <si>
    <t>Definition</t>
  </si>
  <si>
    <t>definition</t>
  </si>
  <si>
    <t>kBtu per MMBtu</t>
  </si>
  <si>
    <t>kWh per MMBtu (1e6 / 3</t>
  </si>
  <si>
    <t>kWh per MWh</t>
  </si>
  <si>
    <t>W per kW</t>
  </si>
  <si>
    <t>g per kg</t>
  </si>
  <si>
    <t>kg per metric ton</t>
  </si>
  <si>
    <t>lb per metric ton</t>
  </si>
  <si>
    <t>Check tolerance</t>
  </si>
  <si>
    <t>Citation</t>
  </si>
  <si>
    <t>URL</t>
  </si>
  <si>
    <t>Retrieved</t>
  </si>
  <si>
    <t>ENERGY STAR Portfolio Manager, U.S. National Median Table (August 2024): Multifamily Housing site EUI 59.6 kBtu/ft2, source EUI 118.1</t>
  </si>
  <si>
    <t>https://portfoliomanager.energystar.gov/pdf/reference/US%20National%20Median%20Table.pdf</t>
  </si>
  <si>
    <t>EIA Residential Energy Consumption Survey 2020, end-use consumption tables (CE3.x) for apartments in buildings with 5+ units, by census region</t>
  </si>
  <si>
    <t>https://www.eia.gov/consumption/residential/data/2020/</t>
  </si>
  <si>
    <t>EIA Electric Power Annual, Table 2.10: District of Columbia average price to commercial customers, 17.07 cents/kWh (2024)</t>
  </si>
  <si>
    <t>https://www.eia.gov/electricity/annual/html/epa_02_10.html</t>
  </si>
  <si>
    <t>EIA Natural Gas Navigator, District of Columbia price delivered to commercial consumers (N3020DC3), $14.36/Mcf (2025 annual, released 2026-09-30)</t>
  </si>
  <si>
    <t>https://www.eia.gov/dnav/ng/hist/n3020dc3a.htm</t>
  </si>
  <si>
    <t>EPA GHG Emission Factors Hub (January 2025), Table 1: natural gas 53.06 kg CO2, 1.0 g CH4, 0.10 g N2O per mmBtu; 0.001026 mmBtu/scf; GWP CH4 28, N2O 265</t>
  </si>
  <si>
    <t>https://www.epa.gov/system/files/documents/2025-01/ghg-emission-factors-hub-2025.pdf</t>
  </si>
  <si>
    <t>EPA eGRID2022 Summary Tables: total output emission rates, RFC East (RFCE) 660.3 lb CO2e/MWh; ERCOT All (ERCT) 774.3 lb CO2e/MWh; U.S. 827.5 lb CO2e/MWh</t>
  </si>
  <si>
    <t>https://www.epa.gov/system/files/documents/2024-01/egrid2022_summary_tables.pdf</t>
  </si>
  <si>
    <t>NREL/NLR Annual Technology Baseline 2024b, Commercial PV: CAPEX $1.78/Wdc (2023), fixed O&amp;M ~$19/kWdc-yr; 200 kWdc flat-roof reference system</t>
  </si>
  <si>
    <t>https://atb.nlr.gov/electricity/2024b/commercial_pv</t>
  </si>
  <si>
    <t>NREL/NLR PVWatts v8.5 API run, Washington DC (38.90, -77.03), fixed roof mount, tilt 10, azimuth 180, 14% losses, DC/AC 1.2: 1,317.7 kWh AC per kWdc per year</t>
  </si>
  <si>
    <t>https://developer.nlr.gov/docs/solar/pvwatts/v8/</t>
  </si>
  <si>
    <t>HUD FY2026 Small Area Fair Market Rents, Washington-Arlington-Alexandria HUD Metro FMR Area; DC ZIP 2BR SAFMRs $2,030 (20011) to $2,620 (20024), read via the fairmarketrentmap.com mirror of HUD data</t>
  </si>
  <si>
    <t>https://www.huduser.gov/portal/datasets/fmr/smallarea/index.html</t>
  </si>
  <si>
    <t>DC Office of Tax and Revenue: Class 1A real property tax rate (residential, 3+ units) $0.85 per $100 of assessed value</t>
  </si>
  <si>
    <t>https://otr.cfo.dc.gov/page/real-property-tax-rates</t>
  </si>
  <si>
    <t>DC DOEE Building Energy Performance Standards Compliance Guidebook (Aug 2021) and Perkins Eastman BEPS guide: performance pathway = 20% site EUI reduction; penalty up to $10/ft2, capped at $7.5 million, prorated by progress. Cycle 2 (from 2027) assumed to carry the same structure.</t>
  </si>
  <si>
    <t>https://doee.dc.gov/service/building-energy-performance-standards-beps</t>
  </si>
  <si>
    <t>Equity Residential FY2025 Form 10-K, dispositions: 13 consolidated rental properties sold at a 5.4% disposition yield (company-wide)</t>
  </si>
  <si>
    <t>https://www.sec.gov/Archives/edgar/data/906107/000119312526051433/eqr-20251231.htm</t>
  </si>
  <si>
    <t>FRED DGS10, 10-year Treasury constant maturity, 5.21% on 2026-10-13 (fetched with quantlab.data.sources.extra.fred_series)</t>
  </si>
  <si>
    <t>https://fred.stlouisfed.org/series/DGS10</t>
  </si>
  <si>
    <t>FRED SOFR, Secured Overnight Financing Rate, 3.88% on 2026-10-14 (fetched with quantlab.data.sources.extra.fred_series)</t>
  </si>
  <si>
    <t>https://fred.stlouisfed.org/series/SOFR</t>
  </si>
  <si>
    <t>Illustrative asset definition for this model (unit mix, size, deal terms). Not a real property or transaction.</t>
  </si>
  <si>
    <t>Analyst estimate, stated in the input note. Not taken from a single published figure; treat as an assumption to stress.</t>
  </si>
  <si>
    <t>Unit conversion or definition (e.g. 12 months per year, 3,412.14 Btu per kWh, 2,204.62 lb per metric ton).</t>
  </si>
  <si>
    <t>Year-1 in-place rents; growth is applied on the Operating tab.</t>
  </si>
  <si>
    <t>Unit type</t>
  </si>
  <si>
    <t>Units</t>
  </si>
  <si>
    <t>Avg size (sf)</t>
  </si>
  <si>
    <t>Rent ($/month)</t>
  </si>
  <si>
    <t>Annual GPR</t>
  </si>
  <si>
    <t>Total sf</t>
  </si>
  <si>
    <t>Studio</t>
  </si>
  <si>
    <t>1BR</t>
  </si>
  <si>
    <t>2BR</t>
  </si>
  <si>
    <t>3BR</t>
  </si>
  <si>
    <t>Total</t>
  </si>
  <si>
    <t>Energy and emissions</t>
  </si>
  <si>
    <t>Annual quantities, held flat over the hold. Whole-building site EUI follows ENERGY STAR (on-site solar consumed counts as site energy).</t>
  </si>
  <si>
    <t>Baseline (status quo)</t>
  </si>
  <si>
    <t>Site energy</t>
  </si>
  <si>
    <t>MMBtu/yr</t>
  </si>
  <si>
    <t>Gas, space heating</t>
  </si>
  <si>
    <t>Gas, hot water</t>
  </si>
  <si>
    <t>Gas, owner-paid total</t>
  </si>
  <si>
    <t>Electricity, common areas (owner)</t>
  </si>
  <si>
    <t>kWh/yr</t>
  </si>
  <si>
    <t>Electricity, in-unit (tenant)</t>
  </si>
  <si>
    <t>Gas price</t>
  </si>
  <si>
    <t>$/MMBtu</t>
  </si>
  <si>
    <t>Heat pump electricity, space heating</t>
  </si>
  <si>
    <t>Heat pump electricity, hot water</t>
  </si>
  <si>
    <t>Gas retained</t>
  </si>
  <si>
    <t>Common-area electricity after LEDs</t>
  </si>
  <si>
    <t>Owner electricity use</t>
  </si>
  <si>
    <t>Rooftop solar generation</t>
  </si>
  <si>
    <t>Owner grid purchases</t>
  </si>
  <si>
    <t>Energy use intensity</t>
  </si>
  <si>
    <t>Site EUI, status quo</t>
  </si>
  <si>
    <t>Site EUI, retrofit</t>
  </si>
  <si>
    <t>Site EUI net of on-site solar</t>
  </si>
  <si>
    <t>Site EUI reduction</t>
  </si>
  <si>
    <t>Natural gas factor (CO2 + CH4 + N2O)</t>
  </si>
  <si>
    <t>tCO2e/MMBtu</t>
  </si>
  <si>
    <t>Grid factor</t>
  </si>
  <si>
    <t>tCO2e/kWh</t>
  </si>
  <si>
    <t>Scope 1, status quo (owner gas)</t>
  </si>
  <si>
    <t>Scope 2, status quo (owner electricity)</t>
  </si>
  <si>
    <t>Scope 1, retrofit</t>
  </si>
  <si>
    <t>Scope 2, retrofit</t>
  </si>
  <si>
    <t>Tenant electricity (Scope 3, cat. 13), both cases</t>
  </si>
  <si>
    <t>Owner Scope 1 + 2, status quo</t>
  </si>
  <si>
    <t>Owner Scope 1 + 2, retrofit</t>
  </si>
  <si>
    <t>Owner emissions avoided</t>
  </si>
  <si>
    <t>Operating statement</t>
  </si>
  <si>
    <t>Common lines are shared; utilities, NOI and cash flow are shown for both cases. SQ = status quo, RF = retrofit.</t>
  </si>
  <si>
    <t>Year</t>
  </si>
  <si>
    <t>Indices</t>
  </si>
  <si>
    <t>Rent</t>
  </si>
  <si>
    <t>index</t>
  </si>
  <si>
    <t>Other income</t>
  </si>
  <si>
    <t>Utility prices</t>
  </si>
  <si>
    <t>Revenue</t>
  </si>
  <si>
    <t>Gross potential rent</t>
  </si>
  <si>
    <t>Effective gross income</t>
  </si>
  <si>
    <t>Operating expenses (shared)</t>
  </si>
  <si>
    <t>Real estate taxes</t>
  </si>
  <si>
    <t>Shared operating expenses</t>
  </si>
  <si>
    <t>Owner-paid utilities</t>
  </si>
  <si>
    <t>Gas, status quo</t>
  </si>
  <si>
    <t>Electricity, status quo</t>
  </si>
  <si>
    <t>Gas, retrofit</t>
  </si>
  <si>
    <t>Electricity, retrofit (grid purchases)</t>
  </si>
  <si>
    <t>Net operating income and cash flow</t>
  </si>
  <si>
    <t>Total operating expenses, SQ</t>
  </si>
  <si>
    <t>Total operating expenses, RF</t>
  </si>
  <si>
    <t>Net operating income, SQ</t>
  </si>
  <si>
    <t>Net operating income, RF</t>
  </si>
  <si>
    <t>Net cash flow after reserves, SQ</t>
  </si>
  <si>
    <t>Net cash flow after reserves, RF</t>
  </si>
  <si>
    <t>Sized on status-quo year-1 cash flow; the same loan funds both cases. Monthly payments, shown annually.</t>
  </si>
  <si>
    <t>Sizing</t>
  </si>
  <si>
    <t>Fixed rate (Treasury + spread)</t>
  </si>
  <si>
    <t>Floating rate (SOFR + shock + spread)</t>
  </si>
  <si>
    <t>Annual debt constant (amortising)</t>
  </si>
  <si>
    <t>Maximum loan, LTV test</t>
  </si>
  <si>
    <t>Maximum loan, DSCR test</t>
  </si>
  <si>
    <t>Maximum loan, debt-yield test</t>
  </si>
  <si>
    <t>Binding constraint</t>
  </si>
  <si>
    <t>Schedule</t>
  </si>
  <si>
    <t>Interest rate</t>
  </si>
  <si>
    <t>Interest-only year (1 = yes)</t>
  </si>
  <si>
    <t>flag</t>
  </si>
  <si>
    <t>Opening balance</t>
  </si>
  <si>
    <t>Monthly payment</t>
  </si>
  <si>
    <t>Annual debt service</t>
  </si>
  <si>
    <t>Closing balance</t>
  </si>
  <si>
    <t>Principal repaid</t>
  </si>
  <si>
    <t>Interest paid</t>
  </si>
  <si>
    <t>Check: service - interest - principal</t>
  </si>
  <si>
    <t>Covenant tests</t>
  </si>
  <si>
    <t>DSCR on net cash flow after reserves over annual debt service; debt yield on NOI over the opening balance. Headroom = NOI decline that would hit the cash-trap level.</t>
  </si>
  <si>
    <t>In hold period (1 = yes)</t>
  </si>
  <si>
    <t>Case: status quo</t>
  </si>
  <si>
    <t>DSCR</t>
  </si>
  <si>
    <t>DSCR headroom to cash trap</t>
  </si>
  <si>
    <t>DSCR status</t>
  </si>
  <si>
    <t>Debt yield</t>
  </si>
  <si>
    <t>Debt-yield headroom to cash trap</t>
  </si>
  <si>
    <t>Debt-yield status</t>
  </si>
  <si>
    <t>DSCR within hold (for the minimum)</t>
  </si>
  <si>
    <t>Debt yield within hold (for the minimum)</t>
  </si>
  <si>
    <t>DSCR status within hold</t>
  </si>
  <si>
    <t>DY status within hold</t>
  </si>
  <si>
    <t>Case: retrofit</t>
  </si>
  <si>
    <t>Summary over the hold</t>
  </si>
  <si>
    <t>Minimum DSCR, SQ</t>
  </si>
  <si>
    <t>Minimum debt yield, SQ</t>
  </si>
  <si>
    <t>Covenant flag-years in the hold (DSCR + debt yield), SQ</t>
  </si>
  <si>
    <t>count</t>
  </si>
  <si>
    <t>Minimum DSCR, RF</t>
  </si>
  <si>
    <t>Minimum debt yield, RF</t>
  </si>
  <si>
    <t>Covenant flag-years in the hold (DSCR + debt yield), RF</t>
  </si>
  <si>
    <t>Year 0 = closing. The exit is at the end of the hold on forward (next-year) NOI.</t>
  </si>
  <si>
    <t>Exit year (1 = yes)</t>
  </si>
  <si>
    <t>Unlevered cash flow, status quo</t>
  </si>
  <si>
    <t>Unlevered cash flow, retrofit</t>
  </si>
  <si>
    <t>Levered cash flow, SQ</t>
  </si>
  <si>
    <t>Levered cash flow, RF</t>
  </si>
  <si>
    <t>Sources and uses</t>
  </si>
  <si>
    <t>Closing costs</t>
  </si>
  <si>
    <t>Total uses, status quo</t>
  </si>
  <si>
    <t>Total uses, retrofit (adds retrofit capex)</t>
  </si>
  <si>
    <t>Equity, status quo</t>
  </si>
  <si>
    <t>Equity, retrofit</t>
  </si>
  <si>
    <t>Exit</t>
  </si>
  <si>
    <t>Forward NOI at exit, SQ</t>
  </si>
  <si>
    <t>Gross exit value, SQ</t>
  </si>
  <si>
    <t>Net sale proceeds, SQ</t>
  </si>
  <si>
    <t>Forward NOI at exit, RF</t>
  </si>
  <si>
    <t>Gross exit value, RF</t>
  </si>
  <si>
    <t>Net sale proceeds, RF</t>
  </si>
  <si>
    <t>Unlevered IRR, SQ</t>
  </si>
  <si>
    <t>Levered IRR, SQ</t>
  </si>
  <si>
    <t>Equity multiple, SQ</t>
  </si>
  <si>
    <t>Check: NPV at the IRR, SQ</t>
  </si>
  <si>
    <t>Unlevered IRR, RF</t>
  </si>
  <si>
    <t>Levered IRR, RF</t>
  </si>
  <si>
    <t>Equity multiple, RF</t>
  </si>
  <si>
    <t>Check: NPV at the IRR, RF</t>
  </si>
  <si>
    <t>Going-in cap rate (year-1 NOI, status quo)</t>
  </si>
  <si>
    <t>Decarbonization retrofit</t>
  </si>
  <si>
    <t>Capex at closing, funded with equity. Savings are owner-paid utilities only; tenant electricity is unchanged.</t>
  </si>
  <si>
    <t>Capex</t>
  </si>
  <si>
    <t>Rooftop solar</t>
  </si>
  <si>
    <t>Gross retrofit capex</t>
  </si>
  <si>
    <t>Less: solar tax credit</t>
  </si>
  <si>
    <t>Economics</t>
  </si>
  <si>
    <t>Simple payback on utility savings</t>
  </si>
  <si>
    <t>Payback net of the avoided boiler replacement</t>
  </si>
  <si>
    <t>Exit value uplift from higher NOI</t>
  </si>
  <si>
    <t>Levered IRR, retrofit minus status quo</t>
  </si>
  <si>
    <t>Net capex per tonne avoided over measure life</t>
  </si>
  <si>
    <t>DC Building Energy Performance Standards</t>
  </si>
  <si>
    <t>Retrofit meets the 20% site EUI pathway</t>
  </si>
  <si>
    <t>TRUE/FALSE</t>
  </si>
  <si>
    <t>Maximum penalty exposure if not met (not in IRR)</t>
  </si>
  <si>
    <t>Stress cases</t>
  </si>
  <si>
    <t>Post-closing stress: the loan is held at its base-case size (Loan_Override is set to the base loan by the stress engine) and operations, the exit and the retrofit underperform. SOFR shocks only bite when the floating option (Debt_Option = 2) is selected.</t>
  </si>
  <si>
    <t>Case currently shown (Inputs!Case_Select)</t>
  </si>
  <si>
    <t>Minimum DSCR, status quo</t>
  </si>
  <si>
    <t>Minimum DSCR, retrofit</t>
  </si>
  <si>
    <t>Minimum debt yield, status quo</t>
  </si>
  <si>
    <t>Covenant flag-years, status quo</t>
  </si>
  <si>
    <t>Levered IRR, status quo</t>
  </si>
  <si>
    <t>Levered IRR, retrofit</t>
  </si>
  <si>
    <t>Equity multiple, retrofit</t>
  </si>
  <si>
    <t>Exit value, retrofit</t>
  </si>
  <si>
    <t>Retrofit simple payback</t>
  </si>
  <si>
    <t>Site EUI after retrofit</t>
  </si>
  <si>
    <t>Snapshot of all three cases (Python engine at build time; set Case_Select to reproduce any column live)</t>
  </si>
  <si>
    <t>One factor at a time from the base case: levered IRR, retrofit</t>
  </si>
  <si>
    <t>Lever</t>
  </si>
  <si>
    <t>Change from base</t>
  </si>
  <si>
    <t>Rent growth -1.5 pts</t>
  </si>
  <si>
    <t>Vacancy +5 pts</t>
  </si>
  <si>
    <t>Floating rate, SOFR +200 bp</t>
  </si>
  <si>
    <t>Exit cap +50 bp</t>
  </si>
  <si>
    <t>Expense growth +1 pt</t>
  </si>
  <si>
    <t>Heat pump capex +50%</t>
  </si>
  <si>
    <t>Heat pump COP 2.0</t>
  </si>
  <si>
    <t>No solar tax credit</t>
  </si>
  <si>
    <t>One factor at a time from the base case: minimum DSCR, status quo</t>
  </si>
  <si>
    <t>Break-evens (Python engine)</t>
  </si>
  <si>
    <t>Vacancy at which minimum DSCR hits the 1.10x default (loan held)</t>
  </si>
  <si>
    <t>Each check returns TRUE when it passes.</t>
  </si>
  <si>
    <t>Sources = uses, status quo</t>
  </si>
  <si>
    <t>Sources = uses, retrofit</t>
  </si>
  <si>
    <t>Loan within LTV, DSCR and debt-yield limits</t>
  </si>
  <si>
    <t>Loan balance never negative</t>
  </si>
  <si>
    <t>Debt service = interest + principal every year</t>
  </si>
  <si>
    <t>End-use shares sum to 100%</t>
  </si>
  <si>
    <t>Baseline energy by end use reconciles to site energy</t>
  </si>
  <si>
    <t>Solar does not exceed owner electricity use</t>
  </si>
  <si>
    <t>NPV at the levered IRR is zero, status quo</t>
  </si>
  <si>
    <t>NPV at the levered IRR is zero, retrofit</t>
  </si>
  <si>
    <t>Hold period fits the model columns</t>
  </si>
  <si>
    <t>All checks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</si>
</sst>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####"/>
    <numFmt numFmtId="165" formatCode="0.00&quot;x&quot;"/>
    <numFmt numFmtId="166" formatCode="0.000000"/>
    <numFmt numFmtId="167" formatCode="#,##0;\(#,##0\);&quot;–&quot;"/>
    <numFmt numFmtId="168" formatCode="#,##0.00;\(#,##0.00\);&quot;–&quot;"/>
    <numFmt numFmtId="169" formatCode="#,##0.0"/>
    <numFmt numFmtId="170" formatCode="0.0%"/>
    <numFmt numFmtId="171" formatCode="#,##0.0000"/>
    <numFmt numFmtId="172" formatCode="0.0E+0"/>
  </numFmts>
  <fonts count="11" x14ac:knownFonts="1">
    <font>
      <sz val="11"/>
      <color theme="1"/>
      <name val="Calibri"/>
      <family val="2"/>
      <scheme val="minor"/>
    </font>
    <font>
      <b/>
      <sz val="14"/>
      <color rgb="FF1F2933"/>
      <name val="Arial"/>
      <family val="2"/>
    </font>
    <font>
      <i/>
      <sz val="9"/>
      <color rgb="FF616E7C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10"/>
      <color rgb="FF006100"/>
      <name val="Arial"/>
      <family val="2"/>
    </font>
    <font>
      <b/>
      <sz val="10"/>
      <color rgb="FF1F2933"/>
      <name val="Arial"/>
      <family val="2"/>
    </font>
    <font>
      <b/>
      <sz val="10"/>
      <color rgb="FF006100"/>
      <name val="Arial"/>
      <family val="2"/>
    </font>
    <font>
      <b/>
      <sz val="10"/>
      <color rgb="FF000000"/>
      <name val="Arial"/>
      <family val="2"/>
    </font>
    <font>
      <b/>
      <sz val="16"/>
      <color rgb="FF1F293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334E68"/>
      </patternFill>
    </fill>
    <fill>
      <patternFill patternType="solid">
        <fgColor rgb="FFFFF7D6"/>
      </patternFill>
    </fill>
    <fill>
      <patternFill patternType="solid">
        <fgColor rgb="FFE9E6F5"/>
      </patternFill>
    </fill>
    <fill>
      <patternFill patternType="solid">
        <fgColor rgb="FFFFF1D6"/>
      </patternFill>
    </fill>
    <fill>
      <patternFill patternType="solid">
        <fgColor rgb="FFDFF3E4"/>
      </patternFill>
    </fill>
    <fill>
      <patternFill patternType="solid">
        <fgColor rgb="FFEEF1F4"/>
      </patternFill>
    </fill>
    <fill>
      <patternFill patternType="solid">
        <fgColor rgb="FFF0F4F8"/>
      </patternFill>
    </fill>
  </fills>
  <borders count="2">
    <border>
      <left/>
      <right/>
      <top/>
      <bottom/>
      <diagonal/>
    </border>
    <border>
      <left/>
      <right/>
      <top style="thin">
        <color rgb="FFBCCCDC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0" fillId="0" borderId="0" xfId="0" applyFont="1"/>
    <xf numFmtId="0" fontId="2" fillId="0" borderId="0" xfId="0" applyFont="1"/>
    <xf numFmtId="0" fontId="7" fillId="0" borderId="0" xfId="0" applyFont="1"/>
    <xf numFmtId="0" fontId="0" fillId="0" borderId="0" xfId="0" applyAlignment="1">
      <alignment wrapText="1"/>
    </xf>
    <xf numFmtId="167" fontId="0" fillId="0" borderId="0" xfId="0" applyNumberFormat="1"/>
    <xf numFmtId="10" fontId="0" fillId="0" borderId="0" xfId="0" applyNumberFormat="1"/>
    <xf numFmtId="170" fontId="0" fillId="0" borderId="0" xfId="0" applyNumberFormat="1"/>
    <xf numFmtId="49" fontId="0" fillId="0" borderId="0" xfId="0" applyNumberFormat="1"/>
    <xf numFmtId="165" fontId="0" fillId="0" borderId="0" xfId="0" applyNumberFormat="1"/>
    <xf numFmtId="169" fontId="0" fillId="0" borderId="0" xfId="0" applyNumberFormat="1"/>
    <xf numFmtId="0" fontId="1" fillId="0" borderId="0" xfId="0" applyFont="1"/>
    <xf numFmtId="0" fontId="3" fillId="2" borderId="0" xfId="0" applyFont="1" applyFill="1"/>
    <xf numFmtId="0" fontId="5" fillId="0" borderId="0" xfId="0" applyFont="1"/>
    <xf numFmtId="164" fontId="4" fillId="3" borderId="0" xfId="0" applyNumberFormat="1" applyFont="1" applyFill="1"/>
    <xf numFmtId="0" fontId="0" fillId="4" borderId="0" xfId="0" applyFill="1"/>
    <xf numFmtId="3" fontId="4" fillId="3" borderId="0" xfId="0" applyNumberFormat="1" applyFont="1" applyFill="1"/>
    <xf numFmtId="0" fontId="0" fillId="5" borderId="0" xfId="0" applyFill="1"/>
    <xf numFmtId="10" fontId="6" fillId="0" borderId="0" xfId="0" applyNumberFormat="1" applyFont="1"/>
    <xf numFmtId="10" fontId="4" fillId="3" borderId="0" xfId="0" applyNumberFormat="1" applyFont="1" applyFill="1"/>
    <xf numFmtId="0" fontId="0" fillId="6" borderId="0" xfId="0" applyFill="1"/>
    <xf numFmtId="4" fontId="4" fillId="3" borderId="0" xfId="0" applyNumberFormat="1" applyFont="1" applyFill="1"/>
    <xf numFmtId="164" fontId="6" fillId="0" borderId="0" xfId="0" applyNumberFormat="1" applyFont="1"/>
    <xf numFmtId="3" fontId="6" fillId="0" borderId="0" xfId="0" applyNumberFormat="1" applyFont="1"/>
    <xf numFmtId="165" fontId="4" fillId="3" borderId="0" xfId="0" applyNumberFormat="1" applyFont="1" applyFill="1"/>
    <xf numFmtId="4" fontId="6" fillId="0" borderId="0" xfId="0" applyNumberFormat="1" applyFont="1"/>
    <xf numFmtId="0" fontId="0" fillId="7" borderId="0" xfId="0" applyFill="1"/>
    <xf numFmtId="166" fontId="4" fillId="3" borderId="0" xfId="0" applyNumberFormat="1" applyFont="1" applyFill="1"/>
    <xf numFmtId="0" fontId="0" fillId="0" borderId="0" xfId="0" applyAlignment="1">
      <alignment vertical="top" wrapText="1"/>
    </xf>
    <xf numFmtId="167" fontId="7" fillId="0" borderId="0" xfId="0" applyNumberFormat="1" applyFont="1"/>
    <xf numFmtId="0" fontId="7" fillId="8" borderId="0" xfId="0" applyFont="1" applyFill="1"/>
    <xf numFmtId="0" fontId="0" fillId="8" borderId="0" xfId="0" applyFill="1"/>
    <xf numFmtId="167" fontId="6" fillId="0" borderId="0" xfId="0" applyNumberFormat="1" applyFont="1"/>
    <xf numFmtId="168" fontId="6" fillId="0" borderId="0" xfId="0" applyNumberFormat="1" applyFont="1"/>
    <xf numFmtId="169" fontId="6" fillId="0" borderId="0" xfId="0" applyNumberFormat="1" applyFont="1"/>
    <xf numFmtId="170" fontId="6" fillId="0" borderId="0" xfId="0" applyNumberFormat="1" applyFont="1"/>
    <xf numFmtId="171" fontId="6" fillId="0" borderId="0" xfId="0" applyNumberFormat="1" applyFont="1"/>
    <xf numFmtId="172" fontId="6" fillId="0" borderId="0" xfId="0" applyNumberFormat="1" applyFont="1"/>
    <xf numFmtId="169" fontId="8" fillId="0" borderId="0" xfId="0" applyNumberFormat="1" applyFont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7" fillId="0" borderId="1" xfId="0" applyFont="1" applyBorder="1"/>
    <xf numFmtId="0" fontId="2" fillId="0" borderId="1" xfId="0" applyFont="1" applyBorder="1"/>
    <xf numFmtId="167" fontId="5" fillId="0" borderId="1" xfId="0" applyNumberFormat="1" applyFont="1" applyBorder="1"/>
    <xf numFmtId="167" fontId="5" fillId="0" borderId="0" xfId="0" applyNumberFormat="1" applyFont="1"/>
    <xf numFmtId="167" fontId="8" fillId="0" borderId="0" xfId="0" applyNumberFormat="1" applyFont="1"/>
    <xf numFmtId="49" fontId="6" fillId="0" borderId="0" xfId="0" applyNumberFormat="1" applyFont="1"/>
    <xf numFmtId="1" fontId="6" fillId="0" borderId="0" xfId="0" applyNumberFormat="1" applyFont="1"/>
    <xf numFmtId="168" fontId="5" fillId="0" borderId="0" xfId="0" applyNumberFormat="1" applyFont="1"/>
    <xf numFmtId="165" fontId="6" fillId="0" borderId="0" xfId="0" applyNumberFormat="1" applyFont="1"/>
    <xf numFmtId="165" fontId="5" fillId="0" borderId="0" xfId="0" applyNumberFormat="1" applyFont="1"/>
    <xf numFmtId="10" fontId="5" fillId="0" borderId="0" xfId="0" applyNumberFormat="1" applyFont="1"/>
    <xf numFmtId="49" fontId="5" fillId="0" borderId="0" xfId="0" applyNumberFormat="1" applyFont="1"/>
    <xf numFmtId="1" fontId="5" fillId="0" borderId="0" xfId="0" applyNumberFormat="1" applyFont="1"/>
    <xf numFmtId="10" fontId="9" fillId="0" borderId="0" xfId="0" applyNumberFormat="1" applyFont="1"/>
    <xf numFmtId="1" fontId="0" fillId="0" borderId="0" xfId="0" applyNumberFormat="1"/>
    <xf numFmtId="49" fontId="8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showGridLines="0" tabSelected="1" workbookViewId="0"/>
  </sheetViews>
  <sheetFormatPr baseColWidth="10" defaultColWidth="8.83203125" defaultRowHeight="15" x14ac:dyDescent="0.2"/>
  <cols>
    <col min="1" max="1" width="26" customWidth="1"/>
    <col min="2" max="2" width="100" customWidth="1"/>
  </cols>
  <sheetData>
    <row r="1" spans="1:2" ht="20" x14ac:dyDescent="0.2">
      <c r="A1" s="1" t="s">
        <v>0</v>
      </c>
    </row>
    <row r="2" spans="1:2" x14ac:dyDescent="0.2">
      <c r="A2" s="2" t="s">
        <v>1</v>
      </c>
    </row>
    <row r="4" spans="1:2" ht="16" x14ac:dyDescent="0.2">
      <c r="A4" s="3" t="s">
        <v>2</v>
      </c>
      <c r="B4" s="4" t="s">
        <v>3</v>
      </c>
    </row>
    <row r="5" spans="1:2" ht="16" x14ac:dyDescent="0.2">
      <c r="A5" s="3" t="s">
        <v>4</v>
      </c>
      <c r="B5" s="4" t="str">
        <f>IF(All_Checks,"All checks pass","CHECK FAILURES - see Checks tab")</f>
        <v>All checks pass</v>
      </c>
    </row>
    <row r="6" spans="1:2" ht="16" x14ac:dyDescent="0.2">
      <c r="A6" s="3" t="s">
        <v>5</v>
      </c>
      <c r="B6" s="4" t="s">
        <v>6</v>
      </c>
    </row>
    <row r="7" spans="1:2" ht="16" x14ac:dyDescent="0.2">
      <c r="A7" s="3" t="s">
        <v>7</v>
      </c>
      <c r="B7" s="4" t="s">
        <v>8</v>
      </c>
    </row>
    <row r="8" spans="1:2" ht="16" x14ac:dyDescent="0.2">
      <c r="A8" s="3" t="s">
        <v>9</v>
      </c>
      <c r="B8" s="4" t="s">
        <v>10</v>
      </c>
    </row>
    <row r="9" spans="1:2" ht="16" x14ac:dyDescent="0.2">
      <c r="A9" s="3" t="s">
        <v>11</v>
      </c>
      <c r="B9" s="4" t="s">
        <v>12</v>
      </c>
    </row>
    <row r="10" spans="1:2" ht="16" x14ac:dyDescent="0.2">
      <c r="A10" s="3" t="s">
        <v>13</v>
      </c>
      <c r="B10" s="4" t="s">
        <v>14</v>
      </c>
    </row>
    <row r="12" spans="1:2" x14ac:dyDescent="0.2">
      <c r="A12" s="3" t="s">
        <v>15</v>
      </c>
    </row>
    <row r="13" spans="1:2" x14ac:dyDescent="0.2">
      <c r="A13" t="s">
        <v>16</v>
      </c>
      <c r="B13" t="s">
        <v>17</v>
      </c>
    </row>
    <row r="14" spans="1:2" x14ac:dyDescent="0.2">
      <c r="A14" t="s">
        <v>18</v>
      </c>
      <c r="B14" t="s">
        <v>19</v>
      </c>
    </row>
    <row r="15" spans="1:2" x14ac:dyDescent="0.2">
      <c r="A15" t="s">
        <v>20</v>
      </c>
      <c r="B15" t="s">
        <v>21</v>
      </c>
    </row>
    <row r="16" spans="1:2" x14ac:dyDescent="0.2">
      <c r="A16" t="s">
        <v>22</v>
      </c>
      <c r="B16" t="s">
        <v>23</v>
      </c>
    </row>
    <row r="17" spans="1:2" x14ac:dyDescent="0.2">
      <c r="A17" t="s">
        <v>24</v>
      </c>
      <c r="B17" t="s">
        <v>25</v>
      </c>
    </row>
    <row r="18" spans="1:2" x14ac:dyDescent="0.2">
      <c r="A18" t="s">
        <v>26</v>
      </c>
      <c r="B18" t="s">
        <v>27</v>
      </c>
    </row>
    <row r="19" spans="1:2" x14ac:dyDescent="0.2">
      <c r="A19" t="s">
        <v>28</v>
      </c>
      <c r="B19" t="s">
        <v>29</v>
      </c>
    </row>
    <row r="20" spans="1:2" x14ac:dyDescent="0.2">
      <c r="A20" t="s">
        <v>30</v>
      </c>
      <c r="B20" t="s">
        <v>31</v>
      </c>
    </row>
    <row r="21" spans="1:2" x14ac:dyDescent="0.2">
      <c r="A21" t="s">
        <v>32</v>
      </c>
      <c r="B21" t="s">
        <v>33</v>
      </c>
    </row>
    <row r="22" spans="1:2" x14ac:dyDescent="0.2">
      <c r="A22" t="s">
        <v>34</v>
      </c>
      <c r="B22" t="s">
        <v>35</v>
      </c>
    </row>
    <row r="23" spans="1:2" x14ac:dyDescent="0.2">
      <c r="A23" t="s">
        <v>36</v>
      </c>
      <c r="B23" t="s">
        <v>37</v>
      </c>
    </row>
    <row r="24" spans="1:2" x14ac:dyDescent="0.2">
      <c r="A24" t="s">
        <v>38</v>
      </c>
      <c r="B24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showGridLines="0" workbookViewId="0"/>
  </sheetViews>
  <sheetFormatPr baseColWidth="10" defaultColWidth="8.83203125" defaultRowHeight="15" x14ac:dyDescent="0.2"/>
  <cols>
    <col min="1" max="1" width="46" customWidth="1"/>
    <col min="2" max="3" width="18" customWidth="1"/>
    <col min="4" max="4" width="14" customWidth="1"/>
  </cols>
  <sheetData>
    <row r="1" spans="1:4" x14ac:dyDescent="0.2">
      <c r="A1" s="3" t="s">
        <v>16</v>
      </c>
    </row>
    <row r="3" spans="1:4" x14ac:dyDescent="0.2">
      <c r="A3" s="3" t="s">
        <v>40</v>
      </c>
      <c r="B3" s="3" t="s">
        <v>41</v>
      </c>
      <c r="C3" s="3" t="s">
        <v>34</v>
      </c>
      <c r="D3" s="3" t="s">
        <v>42</v>
      </c>
    </row>
    <row r="4" spans="1:4" x14ac:dyDescent="0.2">
      <c r="A4" t="s">
        <v>43</v>
      </c>
      <c r="B4" s="5">
        <f>Price</f>
        <v>47000000</v>
      </c>
      <c r="C4" s="5">
        <f>Price</f>
        <v>47000000</v>
      </c>
      <c r="D4" t="s">
        <v>44</v>
      </c>
    </row>
    <row r="5" spans="1:4" x14ac:dyDescent="0.2">
      <c r="A5" t="s">
        <v>45</v>
      </c>
      <c r="B5" s="5">
        <f>Price_Per_Unit</f>
        <v>313333.33333333331</v>
      </c>
      <c r="C5" s="5">
        <f>Price_Per_Unit</f>
        <v>313333.33333333331</v>
      </c>
      <c r="D5" t="s">
        <v>44</v>
      </c>
    </row>
    <row r="6" spans="1:4" x14ac:dyDescent="0.2">
      <c r="A6" t="s">
        <v>46</v>
      </c>
      <c r="B6" s="6">
        <f>Going_In_Cap</f>
        <v>5.5582121431781463E-2</v>
      </c>
      <c r="C6" s="6">
        <f>Going_In_Cap</f>
        <v>5.5582121431781463E-2</v>
      </c>
      <c r="D6" t="s">
        <v>47</v>
      </c>
    </row>
    <row r="7" spans="1:4" x14ac:dyDescent="0.2">
      <c r="A7" t="s">
        <v>48</v>
      </c>
      <c r="B7" s="5">
        <f>Loan</f>
        <v>25961675.341779821</v>
      </c>
      <c r="C7" s="5">
        <f>Loan</f>
        <v>25961675.341779821</v>
      </c>
      <c r="D7" t="s">
        <v>44</v>
      </c>
    </row>
    <row r="8" spans="1:4" x14ac:dyDescent="0.2">
      <c r="A8" t="s">
        <v>49</v>
      </c>
      <c r="B8" s="7">
        <f>LTV</f>
        <v>0.55237607110169828</v>
      </c>
      <c r="C8" s="7">
        <f>LTV</f>
        <v>0.55237607110169828</v>
      </c>
      <c r="D8" t="s">
        <v>47</v>
      </c>
    </row>
    <row r="9" spans="1:4" x14ac:dyDescent="0.2">
      <c r="A9" t="s">
        <v>50</v>
      </c>
      <c r="B9" s="8" t="str">
        <f>Binding_Test</f>
        <v>DSCR</v>
      </c>
      <c r="C9" s="8" t="str">
        <f>Binding_Test</f>
        <v>DSCR</v>
      </c>
    </row>
    <row r="10" spans="1:4" x14ac:dyDescent="0.2">
      <c r="A10" t="s">
        <v>51</v>
      </c>
      <c r="B10" s="5">
        <f>Equity_SQ</f>
        <v>22237941.411637977</v>
      </c>
      <c r="C10" s="5">
        <f>Equity_RF</f>
        <v>24232221.411637977</v>
      </c>
      <c r="D10" t="s">
        <v>44</v>
      </c>
    </row>
    <row r="11" spans="1:4" x14ac:dyDescent="0.2">
      <c r="A11" t="s">
        <v>52</v>
      </c>
      <c r="B11" s="9">
        <f>Min_DSCR_SQ</f>
        <v>1.3258330009239452</v>
      </c>
      <c r="C11" s="9">
        <f>Min_DSCR_RF</f>
        <v>1.350544798131772</v>
      </c>
      <c r="D11" t="s">
        <v>53</v>
      </c>
    </row>
    <row r="12" spans="1:4" x14ac:dyDescent="0.2">
      <c r="A12" t="s">
        <v>54</v>
      </c>
      <c r="B12" s="6">
        <f>Min_DY_SQ</f>
        <v>0.10062369523162817</v>
      </c>
      <c r="C12" s="6">
        <f>Min_DY_RF</f>
        <v>0.10248449907305661</v>
      </c>
      <c r="D12" t="s">
        <v>47</v>
      </c>
    </row>
    <row r="13" spans="1:4" x14ac:dyDescent="0.2">
      <c r="A13" t="s">
        <v>55</v>
      </c>
      <c r="B13" s="6">
        <f>Unlev_IRR_SQ</f>
        <v>7.6436280742278706E-2</v>
      </c>
      <c r="C13" s="6">
        <f>Unlev_IRR_RF</f>
        <v>7.4426156888329098E-2</v>
      </c>
      <c r="D13" t="s">
        <v>47</v>
      </c>
    </row>
    <row r="14" spans="1:4" x14ac:dyDescent="0.2">
      <c r="A14" t="s">
        <v>56</v>
      </c>
      <c r="B14" s="6">
        <f>Lev_IRR_SQ</f>
        <v>8.2077258606478853E-2</v>
      </c>
      <c r="C14" s="6">
        <f>Lev_IRR_RF</f>
        <v>7.8015474550314545E-2</v>
      </c>
      <c r="D14" t="s">
        <v>47</v>
      </c>
    </row>
    <row r="15" spans="1:4" x14ac:dyDescent="0.2">
      <c r="A15" t="s">
        <v>57</v>
      </c>
      <c r="B15" s="9">
        <f>Equity_Multiple_SQ</f>
        <v>2.0459386342372374</v>
      </c>
      <c r="C15" s="9">
        <f>Equity_Multiple_RF</f>
        <v>1.9630917494567097</v>
      </c>
      <c r="D15" t="s">
        <v>53</v>
      </c>
    </row>
    <row r="16" spans="1:4" x14ac:dyDescent="0.2">
      <c r="A16" t="s">
        <v>58</v>
      </c>
      <c r="B16" s="5">
        <f>Exit_Value_SQ</f>
        <v>60992473.905822851</v>
      </c>
      <c r="C16" s="5">
        <f>Exit_Value_RF</f>
        <v>62067958.312059596</v>
      </c>
      <c r="D16" t="s">
        <v>44</v>
      </c>
    </row>
    <row r="17" spans="1:4" x14ac:dyDescent="0.2">
      <c r="A17" t="s">
        <v>59</v>
      </c>
      <c r="B17" s="10">
        <f>EUI_Base</f>
        <v>59.6</v>
      </c>
      <c r="C17" s="10">
        <f>EUI_RF</f>
        <v>37.094778021978016</v>
      </c>
      <c r="D17" t="s">
        <v>60</v>
      </c>
    </row>
    <row r="18" spans="1:4" x14ac:dyDescent="0.2">
      <c r="A18" t="s">
        <v>61</v>
      </c>
      <c r="B18" s="10">
        <f>Owner_tCO2e_SQ</f>
        <v>331.58894049810124</v>
      </c>
      <c r="C18" s="10">
        <f>Owner_tCO2e_RF</f>
        <v>119.17518243507793</v>
      </c>
      <c r="D18" t="s">
        <v>62</v>
      </c>
    </row>
    <row r="19" spans="1:4" x14ac:dyDescent="0.2">
      <c r="A19" t="s">
        <v>63</v>
      </c>
      <c r="C19" s="5">
        <f>Retrofit_Net</f>
        <v>1994280</v>
      </c>
      <c r="D19" t="s">
        <v>44</v>
      </c>
    </row>
    <row r="20" spans="1:4" x14ac:dyDescent="0.2">
      <c r="A20" t="s">
        <v>64</v>
      </c>
      <c r="C20" s="5">
        <f>Utility_Savings_Y1</f>
        <v>48309.585205902171</v>
      </c>
      <c r="D20" t="s">
        <v>44</v>
      </c>
    </row>
    <row r="21" spans="1:4" x14ac:dyDescent="0.2">
      <c r="A21" t="s">
        <v>65</v>
      </c>
      <c r="C21" s="10">
        <f>Payback_Years</f>
        <v>41.28124866939141</v>
      </c>
      <c r="D21" t="s">
        <v>66</v>
      </c>
    </row>
    <row r="22" spans="1:4" x14ac:dyDescent="0.2">
      <c r="A22" t="s">
        <v>67</v>
      </c>
      <c r="C22" s="5">
        <f>Cost_Per_tCO2e</f>
        <v>469.4328696468653</v>
      </c>
      <c r="D22" t="s">
        <v>68</v>
      </c>
    </row>
    <row r="23" spans="1:4" x14ac:dyDescent="0.2">
      <c r="A23" t="s">
        <v>69</v>
      </c>
      <c r="C23" s="8" t="b">
        <f>BEPS_Met</f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8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2" width="52" customWidth="1"/>
    <col min="3" max="3" width="14" customWidth="1"/>
    <col min="4" max="4" width="16" customWidth="1"/>
    <col min="5" max="5" width="13" customWidth="1"/>
    <col min="6" max="6" width="24" customWidth="1"/>
    <col min="7" max="7" width="60" customWidth="1"/>
    <col min="8" max="8" width="3" customWidth="1"/>
    <col min="9" max="11" width="12" customWidth="1"/>
  </cols>
  <sheetData>
    <row r="1" spans="1:11" ht="18" x14ac:dyDescent="0.2">
      <c r="A1" s="11" t="s">
        <v>18</v>
      </c>
    </row>
    <row r="2" spans="1:11" x14ac:dyDescent="0.2">
      <c r="A2" s="2" t="s">
        <v>70</v>
      </c>
    </row>
    <row r="3" spans="1:11" x14ac:dyDescent="0.2">
      <c r="I3" s="2" t="s">
        <v>71</v>
      </c>
    </row>
    <row r="4" spans="1:11" x14ac:dyDescent="0.2">
      <c r="A4" s="12" t="s">
        <v>72</v>
      </c>
      <c r="B4" s="12" t="s">
        <v>73</v>
      </c>
      <c r="C4" s="12" t="s">
        <v>74</v>
      </c>
      <c r="D4" s="12" t="s">
        <v>42</v>
      </c>
      <c r="E4" s="12" t="s">
        <v>75</v>
      </c>
      <c r="F4" s="12" t="s">
        <v>76</v>
      </c>
      <c r="G4" s="12" t="s">
        <v>77</v>
      </c>
      <c r="H4" s="12"/>
      <c r="I4" s="12" t="s">
        <v>78</v>
      </c>
      <c r="J4" s="12" t="s">
        <v>79</v>
      </c>
      <c r="K4" s="12" t="s">
        <v>80</v>
      </c>
    </row>
    <row r="5" spans="1:11" x14ac:dyDescent="0.2">
      <c r="A5" s="13" t="s">
        <v>81</v>
      </c>
      <c r="B5" s="13" t="s">
        <v>82</v>
      </c>
      <c r="C5" s="14">
        <v>20</v>
      </c>
      <c r="D5" s="2" t="s">
        <v>83</v>
      </c>
      <c r="E5" s="15" t="s">
        <v>84</v>
      </c>
      <c r="F5" s="2" t="s">
        <v>85</v>
      </c>
      <c r="G5" s="2"/>
    </row>
    <row r="6" spans="1:11" x14ac:dyDescent="0.2">
      <c r="A6" s="13" t="s">
        <v>81</v>
      </c>
      <c r="B6" s="13" t="s">
        <v>86</v>
      </c>
      <c r="C6" s="14">
        <v>80</v>
      </c>
      <c r="D6" s="2" t="s">
        <v>83</v>
      </c>
      <c r="E6" s="15" t="s">
        <v>84</v>
      </c>
      <c r="F6" s="2" t="s">
        <v>85</v>
      </c>
      <c r="G6" s="2"/>
    </row>
    <row r="7" spans="1:11" x14ac:dyDescent="0.2">
      <c r="A7" s="13" t="s">
        <v>81</v>
      </c>
      <c r="B7" s="13" t="s">
        <v>87</v>
      </c>
      <c r="C7" s="14">
        <v>45</v>
      </c>
      <c r="D7" s="2" t="s">
        <v>83</v>
      </c>
      <c r="E7" s="15" t="s">
        <v>84</v>
      </c>
      <c r="F7" s="2" t="s">
        <v>85</v>
      </c>
      <c r="G7" s="2"/>
    </row>
    <row r="8" spans="1:11" x14ac:dyDescent="0.2">
      <c r="A8" s="13" t="s">
        <v>81</v>
      </c>
      <c r="B8" s="13" t="s">
        <v>88</v>
      </c>
      <c r="C8" s="14">
        <v>5</v>
      </c>
      <c r="D8" s="2" t="s">
        <v>83</v>
      </c>
      <c r="E8" s="15" t="s">
        <v>84</v>
      </c>
      <c r="F8" s="2" t="s">
        <v>85</v>
      </c>
      <c r="G8" s="2"/>
    </row>
    <row r="9" spans="1:11" x14ac:dyDescent="0.2">
      <c r="A9" s="13" t="s">
        <v>81</v>
      </c>
      <c r="B9" s="13" t="s">
        <v>89</v>
      </c>
      <c r="C9" s="14">
        <v>520</v>
      </c>
      <c r="D9" s="2" t="s">
        <v>90</v>
      </c>
      <c r="E9" s="15" t="s">
        <v>84</v>
      </c>
      <c r="F9" s="2" t="s">
        <v>85</v>
      </c>
      <c r="G9" s="2"/>
    </row>
    <row r="10" spans="1:11" x14ac:dyDescent="0.2">
      <c r="A10" s="13" t="s">
        <v>81</v>
      </c>
      <c r="B10" s="13" t="s">
        <v>91</v>
      </c>
      <c r="C10" s="14">
        <v>720</v>
      </c>
      <c r="D10" s="2" t="s">
        <v>90</v>
      </c>
      <c r="E10" s="15" t="s">
        <v>84</v>
      </c>
      <c r="F10" s="2" t="s">
        <v>85</v>
      </c>
      <c r="G10" s="2"/>
    </row>
    <row r="11" spans="1:11" x14ac:dyDescent="0.2">
      <c r="A11" s="13" t="s">
        <v>81</v>
      </c>
      <c r="B11" s="13" t="s">
        <v>92</v>
      </c>
      <c r="C11" s="16">
        <v>1000</v>
      </c>
      <c r="D11" s="2" t="s">
        <v>90</v>
      </c>
      <c r="E11" s="15" t="s">
        <v>84</v>
      </c>
      <c r="F11" s="2" t="s">
        <v>85</v>
      </c>
      <c r="G11" s="2"/>
    </row>
    <row r="12" spans="1:11" x14ac:dyDescent="0.2">
      <c r="A12" s="13" t="s">
        <v>81</v>
      </c>
      <c r="B12" s="13" t="s">
        <v>93</v>
      </c>
      <c r="C12" s="16">
        <v>1250</v>
      </c>
      <c r="D12" s="2" t="s">
        <v>90</v>
      </c>
      <c r="E12" s="15" t="s">
        <v>84</v>
      </c>
      <c r="F12" s="2" t="s">
        <v>85</v>
      </c>
      <c r="G12" s="2"/>
    </row>
    <row r="13" spans="1:11" x14ac:dyDescent="0.2">
      <c r="A13" s="13" t="s">
        <v>81</v>
      </c>
      <c r="B13" s="13" t="s">
        <v>94</v>
      </c>
      <c r="C13" s="16">
        <v>1750</v>
      </c>
      <c r="D13" s="2" t="s">
        <v>95</v>
      </c>
      <c r="E13" s="17" t="s">
        <v>96</v>
      </c>
      <c r="F13" s="2" t="s">
        <v>97</v>
      </c>
      <c r="G13" s="2" t="s">
        <v>98</v>
      </c>
    </row>
    <row r="14" spans="1:11" x14ac:dyDescent="0.2">
      <c r="A14" s="13" t="s">
        <v>81</v>
      </c>
      <c r="B14" s="13" t="s">
        <v>99</v>
      </c>
      <c r="C14" s="16">
        <v>2050</v>
      </c>
      <c r="D14" s="2" t="s">
        <v>95</v>
      </c>
      <c r="E14" s="17" t="s">
        <v>96</v>
      </c>
      <c r="F14" s="2" t="s">
        <v>97</v>
      </c>
      <c r="G14" s="2"/>
    </row>
    <row r="15" spans="1:11" x14ac:dyDescent="0.2">
      <c r="A15" s="13" t="s">
        <v>81</v>
      </c>
      <c r="B15" s="13" t="s">
        <v>100</v>
      </c>
      <c r="C15" s="16">
        <v>2600</v>
      </c>
      <c r="D15" s="2" t="s">
        <v>95</v>
      </c>
      <c r="E15" s="17" t="s">
        <v>96</v>
      </c>
      <c r="F15" s="2" t="s">
        <v>97</v>
      </c>
      <c r="G15" s="2" t="s">
        <v>101</v>
      </c>
    </row>
    <row r="16" spans="1:11" x14ac:dyDescent="0.2">
      <c r="A16" s="13" t="s">
        <v>81</v>
      </c>
      <c r="B16" s="13" t="s">
        <v>102</v>
      </c>
      <c r="C16" s="16">
        <v>3150</v>
      </c>
      <c r="D16" s="2" t="s">
        <v>95</v>
      </c>
      <c r="E16" s="17" t="s">
        <v>96</v>
      </c>
      <c r="F16" s="2" t="s">
        <v>97</v>
      </c>
      <c r="G16" s="2"/>
    </row>
    <row r="17" spans="1:11" x14ac:dyDescent="0.2">
      <c r="A17" s="13" t="s">
        <v>81</v>
      </c>
      <c r="B17" s="13" t="s">
        <v>103</v>
      </c>
      <c r="C17" s="16">
        <v>150000</v>
      </c>
      <c r="D17" s="2" t="s">
        <v>90</v>
      </c>
      <c r="E17" s="15" t="s">
        <v>84</v>
      </c>
      <c r="F17" s="2" t="s">
        <v>85</v>
      </c>
      <c r="G17" s="2" t="s">
        <v>104</v>
      </c>
    </row>
    <row r="18" spans="1:11" x14ac:dyDescent="0.2">
      <c r="A18" s="13" t="s">
        <v>105</v>
      </c>
      <c r="B18" s="13" t="s">
        <v>106</v>
      </c>
      <c r="C18" s="18">
        <f>CHOOSE(Case_Select,I18,J18,K18)</f>
        <v>0.05</v>
      </c>
      <c r="D18" s="2" t="s">
        <v>107</v>
      </c>
      <c r="E18" s="17" t="s">
        <v>96</v>
      </c>
      <c r="F18" s="2" t="s">
        <v>108</v>
      </c>
      <c r="G18" s="2"/>
      <c r="I18" s="19">
        <v>0.05</v>
      </c>
      <c r="J18" s="19">
        <v>7.0000000000000007E-2</v>
      </c>
      <c r="K18" s="19">
        <v>0.1</v>
      </c>
    </row>
    <row r="19" spans="1:11" x14ac:dyDescent="0.2">
      <c r="A19" s="13" t="s">
        <v>105</v>
      </c>
      <c r="B19" s="13" t="s">
        <v>109</v>
      </c>
      <c r="C19" s="16">
        <v>1200</v>
      </c>
      <c r="D19" s="2" t="s">
        <v>110</v>
      </c>
      <c r="E19" s="17" t="s">
        <v>96</v>
      </c>
      <c r="F19" s="2" t="s">
        <v>108</v>
      </c>
      <c r="G19" s="2"/>
    </row>
    <row r="20" spans="1:11" x14ac:dyDescent="0.2">
      <c r="A20" s="13" t="s">
        <v>105</v>
      </c>
      <c r="B20" s="13" t="s">
        <v>111</v>
      </c>
      <c r="C20" s="18">
        <f>CHOOSE(Case_Select,I20,J20,K20)</f>
        <v>0.03</v>
      </c>
      <c r="D20" s="2" t="s">
        <v>112</v>
      </c>
      <c r="E20" s="17" t="s">
        <v>96</v>
      </c>
      <c r="F20" s="2" t="s">
        <v>108</v>
      </c>
      <c r="G20" s="2"/>
      <c r="I20" s="19">
        <v>0.03</v>
      </c>
      <c r="J20" s="19">
        <v>0.02</v>
      </c>
      <c r="K20" s="19">
        <v>0.01</v>
      </c>
    </row>
    <row r="21" spans="1:11" x14ac:dyDescent="0.2">
      <c r="A21" s="13" t="s">
        <v>105</v>
      </c>
      <c r="B21" s="13" t="s">
        <v>113</v>
      </c>
      <c r="C21" s="19">
        <v>2.5000000000000001E-2</v>
      </c>
      <c r="D21" s="2" t="s">
        <v>112</v>
      </c>
      <c r="E21" s="17" t="s">
        <v>96</v>
      </c>
      <c r="F21" s="2" t="s">
        <v>108</v>
      </c>
      <c r="G21" s="2"/>
    </row>
    <row r="22" spans="1:11" x14ac:dyDescent="0.2">
      <c r="A22" s="13" t="s">
        <v>105</v>
      </c>
      <c r="B22" s="13" t="s">
        <v>114</v>
      </c>
      <c r="C22" s="18">
        <f>CHOOSE(Case_Select,I22,J22,K22)</f>
        <v>0.03</v>
      </c>
      <c r="D22" s="2" t="s">
        <v>112</v>
      </c>
      <c r="E22" s="17" t="s">
        <v>96</v>
      </c>
      <c r="F22" s="2" t="s">
        <v>108</v>
      </c>
      <c r="G22" s="2"/>
      <c r="I22" s="19">
        <v>0.03</v>
      </c>
      <c r="J22" s="19">
        <v>3.5000000000000003E-2</v>
      </c>
      <c r="K22" s="19">
        <v>0.04</v>
      </c>
    </row>
    <row r="23" spans="1:11" x14ac:dyDescent="0.2">
      <c r="A23" s="13" t="s">
        <v>105</v>
      </c>
      <c r="B23" s="13" t="s">
        <v>115</v>
      </c>
      <c r="C23" s="19">
        <v>0.03</v>
      </c>
      <c r="D23" s="2" t="s">
        <v>112</v>
      </c>
      <c r="E23" s="17" t="s">
        <v>96</v>
      </c>
      <c r="F23" s="2" t="s">
        <v>108</v>
      </c>
      <c r="G23" s="2"/>
    </row>
    <row r="24" spans="1:11" x14ac:dyDescent="0.2">
      <c r="A24" s="13" t="s">
        <v>105</v>
      </c>
      <c r="B24" s="13" t="s">
        <v>116</v>
      </c>
      <c r="C24" s="18">
        <f>CHOOSE(Case_Select,I24,J24,K24)</f>
        <v>2.5000000000000001E-2</v>
      </c>
      <c r="D24" s="2" t="s">
        <v>112</v>
      </c>
      <c r="E24" s="17" t="s">
        <v>96</v>
      </c>
      <c r="F24" s="2" t="s">
        <v>108</v>
      </c>
      <c r="G24" s="2"/>
      <c r="I24" s="19">
        <v>2.5000000000000001E-2</v>
      </c>
      <c r="J24" s="19">
        <v>3.5000000000000003E-2</v>
      </c>
      <c r="K24" s="19">
        <v>0.05</v>
      </c>
    </row>
    <row r="25" spans="1:11" x14ac:dyDescent="0.2">
      <c r="A25" s="13" t="s">
        <v>117</v>
      </c>
      <c r="B25" s="13" t="s">
        <v>118</v>
      </c>
      <c r="C25" s="16">
        <v>280000</v>
      </c>
      <c r="D25" s="2" t="s">
        <v>119</v>
      </c>
      <c r="E25" s="17" t="s">
        <v>96</v>
      </c>
      <c r="F25" s="2" t="s">
        <v>108</v>
      </c>
      <c r="G25" s="2" t="s">
        <v>120</v>
      </c>
    </row>
    <row r="26" spans="1:11" x14ac:dyDescent="0.2">
      <c r="A26" s="13" t="s">
        <v>117</v>
      </c>
      <c r="B26" s="13" t="s">
        <v>121</v>
      </c>
      <c r="C26" s="19">
        <v>8.5000000000000006E-3</v>
      </c>
      <c r="D26" s="2" t="s">
        <v>122</v>
      </c>
      <c r="E26" s="20" t="s">
        <v>123</v>
      </c>
      <c r="F26" s="2" t="s">
        <v>124</v>
      </c>
      <c r="G26" s="2"/>
    </row>
    <row r="27" spans="1:11" x14ac:dyDescent="0.2">
      <c r="A27" s="13" t="s">
        <v>117</v>
      </c>
      <c r="B27" s="13" t="s">
        <v>125</v>
      </c>
      <c r="C27" s="14">
        <v>900</v>
      </c>
      <c r="D27" s="2" t="s">
        <v>110</v>
      </c>
      <c r="E27" s="17" t="s">
        <v>96</v>
      </c>
      <c r="F27" s="2" t="s">
        <v>108</v>
      </c>
      <c r="G27" s="2"/>
    </row>
    <row r="28" spans="1:11" x14ac:dyDescent="0.2">
      <c r="A28" s="13" t="s">
        <v>117</v>
      </c>
      <c r="B28" s="13" t="s">
        <v>126</v>
      </c>
      <c r="C28" s="14">
        <v>750</v>
      </c>
      <c r="D28" s="2" t="s">
        <v>110</v>
      </c>
      <c r="E28" s="17" t="s">
        <v>96</v>
      </c>
      <c r="F28" s="2" t="s">
        <v>108</v>
      </c>
      <c r="G28" s="2"/>
    </row>
    <row r="29" spans="1:11" x14ac:dyDescent="0.2">
      <c r="A29" s="13" t="s">
        <v>117</v>
      </c>
      <c r="B29" s="13" t="s">
        <v>127</v>
      </c>
      <c r="C29" s="16">
        <v>1100</v>
      </c>
      <c r="D29" s="2" t="s">
        <v>110</v>
      </c>
      <c r="E29" s="17" t="s">
        <v>96</v>
      </c>
      <c r="F29" s="2" t="s">
        <v>108</v>
      </c>
      <c r="G29" s="2"/>
    </row>
    <row r="30" spans="1:11" x14ac:dyDescent="0.2">
      <c r="A30" s="13" t="s">
        <v>117</v>
      </c>
      <c r="B30" s="13" t="s">
        <v>128</v>
      </c>
      <c r="C30" s="16">
        <v>1800</v>
      </c>
      <c r="D30" s="2" t="s">
        <v>110</v>
      </c>
      <c r="E30" s="17" t="s">
        <v>96</v>
      </c>
      <c r="F30" s="2" t="s">
        <v>108</v>
      </c>
      <c r="G30" s="2"/>
    </row>
    <row r="31" spans="1:11" x14ac:dyDescent="0.2">
      <c r="A31" s="13" t="s">
        <v>117</v>
      </c>
      <c r="B31" s="13" t="s">
        <v>129</v>
      </c>
      <c r="C31" s="14">
        <v>500</v>
      </c>
      <c r="D31" s="2" t="s">
        <v>110</v>
      </c>
      <c r="E31" s="17" t="s">
        <v>96</v>
      </c>
      <c r="F31" s="2" t="s">
        <v>108</v>
      </c>
      <c r="G31" s="2"/>
    </row>
    <row r="32" spans="1:11" x14ac:dyDescent="0.2">
      <c r="A32" s="13" t="s">
        <v>117</v>
      </c>
      <c r="B32" s="13" t="s">
        <v>130</v>
      </c>
      <c r="C32" s="19">
        <v>0.03</v>
      </c>
      <c r="D32" s="2" t="s">
        <v>131</v>
      </c>
      <c r="E32" s="17" t="s">
        <v>96</v>
      </c>
      <c r="F32" s="2" t="s">
        <v>108</v>
      </c>
      <c r="G32" s="2"/>
    </row>
    <row r="33" spans="1:11" x14ac:dyDescent="0.2">
      <c r="A33" s="13" t="s">
        <v>117</v>
      </c>
      <c r="B33" s="13" t="s">
        <v>132</v>
      </c>
      <c r="C33" s="14">
        <v>300</v>
      </c>
      <c r="D33" s="2" t="s">
        <v>110</v>
      </c>
      <c r="E33" s="17" t="s">
        <v>96</v>
      </c>
      <c r="F33" s="2" t="s">
        <v>108</v>
      </c>
      <c r="G33" s="2" t="s">
        <v>133</v>
      </c>
    </row>
    <row r="34" spans="1:11" x14ac:dyDescent="0.2">
      <c r="A34" s="13" t="s">
        <v>117</v>
      </c>
      <c r="B34" s="13" t="s">
        <v>134</v>
      </c>
      <c r="C34" s="16">
        <v>450000</v>
      </c>
      <c r="D34" s="2" t="s">
        <v>44</v>
      </c>
      <c r="E34" s="17" t="s">
        <v>96</v>
      </c>
      <c r="F34" s="2" t="s">
        <v>108</v>
      </c>
      <c r="G34" s="2" t="s">
        <v>135</v>
      </c>
    </row>
    <row r="35" spans="1:11" x14ac:dyDescent="0.2">
      <c r="A35" s="13" t="s">
        <v>117</v>
      </c>
      <c r="B35" s="13" t="s">
        <v>136</v>
      </c>
      <c r="C35" s="14">
        <v>3</v>
      </c>
      <c r="D35" s="2" t="s">
        <v>137</v>
      </c>
      <c r="E35" s="15" t="s">
        <v>84</v>
      </c>
      <c r="F35" s="2" t="s">
        <v>85</v>
      </c>
      <c r="G35" s="2"/>
    </row>
    <row r="36" spans="1:11" x14ac:dyDescent="0.2">
      <c r="A36" s="13" t="s">
        <v>138</v>
      </c>
      <c r="B36" s="13" t="s">
        <v>139</v>
      </c>
      <c r="C36" s="14">
        <v>59.6</v>
      </c>
      <c r="D36" s="2" t="s">
        <v>140</v>
      </c>
      <c r="E36" s="20" t="s">
        <v>123</v>
      </c>
      <c r="F36" s="2" t="s">
        <v>141</v>
      </c>
      <c r="G36" s="2" t="s">
        <v>142</v>
      </c>
    </row>
    <row r="37" spans="1:11" x14ac:dyDescent="0.2">
      <c r="A37" s="13" t="s">
        <v>138</v>
      </c>
      <c r="B37" s="13" t="s">
        <v>143</v>
      </c>
      <c r="C37" s="19">
        <v>0.28000000000000003</v>
      </c>
      <c r="D37" s="2" t="s">
        <v>144</v>
      </c>
      <c r="E37" s="17" t="s">
        <v>96</v>
      </c>
      <c r="F37" s="2" t="s">
        <v>145</v>
      </c>
      <c r="G37" s="2"/>
    </row>
    <row r="38" spans="1:11" x14ac:dyDescent="0.2">
      <c r="A38" s="13" t="s">
        <v>138</v>
      </c>
      <c r="B38" s="13" t="s">
        <v>146</v>
      </c>
      <c r="C38" s="19">
        <v>0.22</v>
      </c>
      <c r="D38" s="2" t="s">
        <v>144</v>
      </c>
      <c r="E38" s="17" t="s">
        <v>96</v>
      </c>
      <c r="F38" s="2" t="s">
        <v>145</v>
      </c>
      <c r="G38" s="2"/>
    </row>
    <row r="39" spans="1:11" x14ac:dyDescent="0.2">
      <c r="A39" s="13" t="s">
        <v>138</v>
      </c>
      <c r="B39" s="13" t="s">
        <v>147</v>
      </c>
      <c r="C39" s="19">
        <v>0.12</v>
      </c>
      <c r="D39" s="2" t="s">
        <v>144</v>
      </c>
      <c r="E39" s="17" t="s">
        <v>96</v>
      </c>
      <c r="F39" s="2" t="s">
        <v>108</v>
      </c>
      <c r="G39" s="2"/>
    </row>
    <row r="40" spans="1:11" x14ac:dyDescent="0.2">
      <c r="A40" s="13" t="s">
        <v>138</v>
      </c>
      <c r="B40" s="13" t="s">
        <v>148</v>
      </c>
      <c r="C40" s="19">
        <v>0.38</v>
      </c>
      <c r="D40" s="2" t="s">
        <v>144</v>
      </c>
      <c r="E40" s="17" t="s">
        <v>96</v>
      </c>
      <c r="F40" s="2" t="s">
        <v>145</v>
      </c>
      <c r="G40" s="2"/>
    </row>
    <row r="41" spans="1:11" x14ac:dyDescent="0.2">
      <c r="A41" s="13" t="s">
        <v>138</v>
      </c>
      <c r="B41" s="13" t="s">
        <v>149</v>
      </c>
      <c r="C41" s="21">
        <v>0.17069999999999999</v>
      </c>
      <c r="D41" s="2" t="s">
        <v>150</v>
      </c>
      <c r="E41" s="20" t="s">
        <v>123</v>
      </c>
      <c r="F41" s="2" t="s">
        <v>151</v>
      </c>
      <c r="G41" s="2"/>
    </row>
    <row r="42" spans="1:11" x14ac:dyDescent="0.2">
      <c r="A42" s="13" t="s">
        <v>138</v>
      </c>
      <c r="B42" s="13" t="s">
        <v>152</v>
      </c>
      <c r="C42" s="21">
        <v>14.36</v>
      </c>
      <c r="D42" s="2" t="s">
        <v>153</v>
      </c>
      <c r="E42" s="20" t="s">
        <v>123</v>
      </c>
      <c r="F42" s="2" t="s">
        <v>154</v>
      </c>
      <c r="G42" s="2"/>
    </row>
    <row r="43" spans="1:11" x14ac:dyDescent="0.2">
      <c r="A43" s="13" t="s">
        <v>138</v>
      </c>
      <c r="B43" s="13" t="s">
        <v>155</v>
      </c>
      <c r="C43" s="14">
        <v>1.026</v>
      </c>
      <c r="D43" s="2" t="s">
        <v>156</v>
      </c>
      <c r="E43" s="20" t="s">
        <v>123</v>
      </c>
      <c r="F43" s="2" t="s">
        <v>157</v>
      </c>
      <c r="G43" s="2"/>
    </row>
    <row r="44" spans="1:11" x14ac:dyDescent="0.2">
      <c r="A44" s="13" t="s">
        <v>34</v>
      </c>
      <c r="B44" s="13" t="s">
        <v>158</v>
      </c>
      <c r="C44" s="14">
        <v>0.8</v>
      </c>
      <c r="D44" s="2" t="s">
        <v>159</v>
      </c>
      <c r="E44" s="17" t="s">
        <v>96</v>
      </c>
      <c r="F44" s="2" t="s">
        <v>108</v>
      </c>
      <c r="G44" s="2"/>
    </row>
    <row r="45" spans="1:11" x14ac:dyDescent="0.2">
      <c r="A45" s="13" t="s">
        <v>34</v>
      </c>
      <c r="B45" s="13" t="s">
        <v>160</v>
      </c>
      <c r="C45" s="22">
        <f>CHOOSE(Case_Select,I45,J45,K45)</f>
        <v>2.6</v>
      </c>
      <c r="D45" s="2" t="s">
        <v>159</v>
      </c>
      <c r="E45" s="17" t="s">
        <v>96</v>
      </c>
      <c r="F45" s="2" t="s">
        <v>108</v>
      </c>
      <c r="G45" s="2" t="s">
        <v>161</v>
      </c>
      <c r="I45" s="14">
        <v>2.6</v>
      </c>
      <c r="J45" s="14">
        <v>2.2999999999999998</v>
      </c>
      <c r="K45" s="14">
        <v>2</v>
      </c>
    </row>
    <row r="46" spans="1:11" x14ac:dyDescent="0.2">
      <c r="A46" s="13" t="s">
        <v>34</v>
      </c>
      <c r="B46" s="13" t="s">
        <v>160</v>
      </c>
      <c r="C46" s="14">
        <v>2.8</v>
      </c>
      <c r="D46" s="2" t="s">
        <v>159</v>
      </c>
      <c r="E46" s="17" t="s">
        <v>96</v>
      </c>
      <c r="F46" s="2" t="s">
        <v>108</v>
      </c>
      <c r="G46" s="2"/>
    </row>
    <row r="47" spans="1:11" x14ac:dyDescent="0.2">
      <c r="A47" s="13" t="s">
        <v>34</v>
      </c>
      <c r="B47" s="13" t="s">
        <v>162</v>
      </c>
      <c r="C47" s="19">
        <v>0.1</v>
      </c>
      <c r="D47" s="2" t="s">
        <v>163</v>
      </c>
      <c r="E47" s="17" t="s">
        <v>96</v>
      </c>
      <c r="F47" s="2" t="s">
        <v>108</v>
      </c>
      <c r="G47" s="2"/>
    </row>
    <row r="48" spans="1:11" x14ac:dyDescent="0.2">
      <c r="A48" s="13" t="s">
        <v>34</v>
      </c>
      <c r="B48" s="13" t="s">
        <v>164</v>
      </c>
      <c r="C48" s="19">
        <v>0.15</v>
      </c>
      <c r="D48" s="2" t="s">
        <v>165</v>
      </c>
      <c r="E48" s="17" t="s">
        <v>96</v>
      </c>
      <c r="F48" s="2" t="s">
        <v>108</v>
      </c>
      <c r="G48" s="2"/>
    </row>
    <row r="49" spans="1:11" x14ac:dyDescent="0.2">
      <c r="A49" s="13" t="s">
        <v>34</v>
      </c>
      <c r="B49" s="13" t="s">
        <v>166</v>
      </c>
      <c r="C49" s="14">
        <v>180</v>
      </c>
      <c r="D49" s="2" t="s">
        <v>167</v>
      </c>
      <c r="E49" s="15" t="s">
        <v>84</v>
      </c>
      <c r="F49" s="2" t="s">
        <v>85</v>
      </c>
      <c r="G49" s="2" t="s">
        <v>168</v>
      </c>
    </row>
    <row r="50" spans="1:11" x14ac:dyDescent="0.2">
      <c r="A50" s="13" t="s">
        <v>34</v>
      </c>
      <c r="B50" s="13" t="s">
        <v>169</v>
      </c>
      <c r="C50" s="16">
        <v>1317.7</v>
      </c>
      <c r="D50" s="2" t="s">
        <v>170</v>
      </c>
      <c r="E50" s="20" t="s">
        <v>123</v>
      </c>
      <c r="F50" s="2" t="s">
        <v>171</v>
      </c>
      <c r="G50" s="2"/>
    </row>
    <row r="51" spans="1:11" x14ac:dyDescent="0.2">
      <c r="A51" s="13" t="s">
        <v>34</v>
      </c>
      <c r="B51" s="13" t="s">
        <v>172</v>
      </c>
      <c r="C51" s="21">
        <v>1.78</v>
      </c>
      <c r="D51" s="2" t="s">
        <v>173</v>
      </c>
      <c r="E51" s="20" t="s">
        <v>123</v>
      </c>
      <c r="F51" s="2" t="s">
        <v>174</v>
      </c>
      <c r="G51" s="2"/>
    </row>
    <row r="52" spans="1:11" x14ac:dyDescent="0.2">
      <c r="A52" s="13" t="s">
        <v>34</v>
      </c>
      <c r="B52" s="13" t="s">
        <v>175</v>
      </c>
      <c r="C52" s="19">
        <v>0.3</v>
      </c>
      <c r="D52" s="2" t="s">
        <v>176</v>
      </c>
      <c r="E52" s="15" t="s">
        <v>84</v>
      </c>
      <c r="F52" s="2" t="s">
        <v>108</v>
      </c>
      <c r="G52" s="2" t="s">
        <v>177</v>
      </c>
    </row>
    <row r="53" spans="1:11" x14ac:dyDescent="0.2">
      <c r="A53" s="13" t="s">
        <v>34</v>
      </c>
      <c r="B53" s="13" t="s">
        <v>178</v>
      </c>
      <c r="C53" s="23">
        <f>CHOOSE(Case_Select,I53,J53,K53)</f>
        <v>10000</v>
      </c>
      <c r="D53" s="2" t="s">
        <v>119</v>
      </c>
      <c r="E53" s="17" t="s">
        <v>96</v>
      </c>
      <c r="F53" s="2" t="s">
        <v>108</v>
      </c>
      <c r="G53" s="2" t="s">
        <v>179</v>
      </c>
      <c r="I53" s="16">
        <v>10000</v>
      </c>
      <c r="J53" s="16">
        <v>12500</v>
      </c>
      <c r="K53" s="16">
        <v>15000</v>
      </c>
    </row>
    <row r="54" spans="1:11" x14ac:dyDescent="0.2">
      <c r="A54" s="13" t="s">
        <v>34</v>
      </c>
      <c r="B54" s="13" t="s">
        <v>180</v>
      </c>
      <c r="C54" s="21">
        <v>1.5</v>
      </c>
      <c r="D54" s="2" t="s">
        <v>181</v>
      </c>
      <c r="E54" s="17" t="s">
        <v>96</v>
      </c>
      <c r="F54" s="2" t="s">
        <v>108</v>
      </c>
      <c r="G54" s="2"/>
    </row>
    <row r="55" spans="1:11" x14ac:dyDescent="0.2">
      <c r="A55" s="13" t="s">
        <v>34</v>
      </c>
      <c r="B55" s="13" t="s">
        <v>182</v>
      </c>
      <c r="C55" s="14">
        <v>300</v>
      </c>
      <c r="D55" s="2" t="s">
        <v>119</v>
      </c>
      <c r="E55" s="17" t="s">
        <v>96</v>
      </c>
      <c r="F55" s="2" t="s">
        <v>108</v>
      </c>
      <c r="G55" s="2"/>
    </row>
    <row r="56" spans="1:11" x14ac:dyDescent="0.2">
      <c r="A56" s="13" t="s">
        <v>34</v>
      </c>
      <c r="B56" s="13" t="s">
        <v>183</v>
      </c>
      <c r="C56" s="14">
        <v>20</v>
      </c>
      <c r="D56" s="2" t="s">
        <v>66</v>
      </c>
      <c r="E56" s="17" t="s">
        <v>96</v>
      </c>
      <c r="F56" s="2" t="s">
        <v>108</v>
      </c>
      <c r="G56" s="2"/>
    </row>
    <row r="57" spans="1:11" x14ac:dyDescent="0.2">
      <c r="A57" s="13" t="s">
        <v>34</v>
      </c>
      <c r="B57" s="13" t="s">
        <v>184</v>
      </c>
      <c r="C57" s="19">
        <v>0</v>
      </c>
      <c r="D57" s="2" t="s">
        <v>47</v>
      </c>
      <c r="E57" s="15" t="s">
        <v>84</v>
      </c>
      <c r="F57" s="2" t="s">
        <v>85</v>
      </c>
      <c r="G57" s="2" t="s">
        <v>185</v>
      </c>
    </row>
    <row r="58" spans="1:11" x14ac:dyDescent="0.2">
      <c r="A58" s="13" t="s">
        <v>186</v>
      </c>
      <c r="B58" s="13" t="s">
        <v>187</v>
      </c>
      <c r="C58" s="14">
        <v>660.3</v>
      </c>
      <c r="D58" s="2" t="s">
        <v>188</v>
      </c>
      <c r="E58" s="20" t="s">
        <v>123</v>
      </c>
      <c r="F58" s="2" t="s">
        <v>189</v>
      </c>
      <c r="G58" s="2" t="s">
        <v>190</v>
      </c>
    </row>
    <row r="59" spans="1:11" x14ac:dyDescent="0.2">
      <c r="A59" s="13" t="s">
        <v>186</v>
      </c>
      <c r="B59" s="13" t="s">
        <v>191</v>
      </c>
      <c r="C59" s="14">
        <v>53.06</v>
      </c>
      <c r="D59" s="2" t="s">
        <v>192</v>
      </c>
      <c r="E59" s="20" t="s">
        <v>123</v>
      </c>
      <c r="F59" s="2" t="s">
        <v>157</v>
      </c>
      <c r="G59" s="2"/>
    </row>
    <row r="60" spans="1:11" x14ac:dyDescent="0.2">
      <c r="A60" s="13" t="s">
        <v>186</v>
      </c>
      <c r="B60" s="13" t="s">
        <v>193</v>
      </c>
      <c r="C60" s="14">
        <v>1</v>
      </c>
      <c r="D60" s="2" t="s">
        <v>194</v>
      </c>
      <c r="E60" s="20" t="s">
        <v>123</v>
      </c>
      <c r="F60" s="2" t="s">
        <v>157</v>
      </c>
      <c r="G60" s="2"/>
    </row>
    <row r="61" spans="1:11" x14ac:dyDescent="0.2">
      <c r="A61" s="13" t="s">
        <v>186</v>
      </c>
      <c r="B61" s="13" t="s">
        <v>195</v>
      </c>
      <c r="C61" s="14">
        <v>0.1</v>
      </c>
      <c r="D61" s="2" t="s">
        <v>194</v>
      </c>
      <c r="E61" s="20" t="s">
        <v>123</v>
      </c>
      <c r="F61" s="2" t="s">
        <v>157</v>
      </c>
      <c r="G61" s="2"/>
    </row>
    <row r="62" spans="1:11" x14ac:dyDescent="0.2">
      <c r="A62" s="13" t="s">
        <v>186</v>
      </c>
      <c r="B62" s="13" t="s">
        <v>196</v>
      </c>
      <c r="C62" s="14">
        <v>28</v>
      </c>
      <c r="D62" s="2" t="s">
        <v>159</v>
      </c>
      <c r="E62" s="20" t="s">
        <v>123</v>
      </c>
      <c r="F62" s="2" t="s">
        <v>157</v>
      </c>
      <c r="G62" s="2"/>
    </row>
    <row r="63" spans="1:11" x14ac:dyDescent="0.2">
      <c r="A63" s="13" t="s">
        <v>186</v>
      </c>
      <c r="B63" s="13" t="s">
        <v>196</v>
      </c>
      <c r="C63" s="14">
        <v>265</v>
      </c>
      <c r="D63" s="2" t="s">
        <v>159</v>
      </c>
      <c r="E63" s="20" t="s">
        <v>123</v>
      </c>
      <c r="F63" s="2" t="s">
        <v>157</v>
      </c>
      <c r="G63" s="2"/>
    </row>
    <row r="64" spans="1:11" x14ac:dyDescent="0.2">
      <c r="A64" s="13" t="s">
        <v>186</v>
      </c>
      <c r="B64" s="13" t="s">
        <v>197</v>
      </c>
      <c r="C64" s="19">
        <v>0.2</v>
      </c>
      <c r="D64" s="2" t="s">
        <v>47</v>
      </c>
      <c r="E64" s="20" t="s">
        <v>123</v>
      </c>
      <c r="F64" s="2" t="s">
        <v>198</v>
      </c>
      <c r="G64" s="2"/>
    </row>
    <row r="65" spans="1:11" x14ac:dyDescent="0.2">
      <c r="A65" s="13" t="s">
        <v>186</v>
      </c>
      <c r="B65" s="13" t="s">
        <v>199</v>
      </c>
      <c r="C65" s="21">
        <v>10</v>
      </c>
      <c r="D65" s="2" t="s">
        <v>200</v>
      </c>
      <c r="E65" s="20" t="s">
        <v>123</v>
      </c>
      <c r="F65" s="2" t="s">
        <v>198</v>
      </c>
      <c r="G65" s="2"/>
    </row>
    <row r="66" spans="1:11" x14ac:dyDescent="0.2">
      <c r="A66" s="13" t="s">
        <v>186</v>
      </c>
      <c r="B66" s="13" t="s">
        <v>201</v>
      </c>
      <c r="C66" s="16">
        <v>7500000</v>
      </c>
      <c r="D66" s="2" t="s">
        <v>44</v>
      </c>
      <c r="E66" s="20" t="s">
        <v>123</v>
      </c>
      <c r="F66" s="2" t="s">
        <v>198</v>
      </c>
      <c r="G66" s="2"/>
    </row>
    <row r="67" spans="1:11" x14ac:dyDescent="0.2">
      <c r="A67" s="13" t="s">
        <v>202</v>
      </c>
      <c r="B67" s="13" t="s">
        <v>43</v>
      </c>
      <c r="C67" s="16">
        <v>47000000</v>
      </c>
      <c r="D67" s="2" t="s">
        <v>44</v>
      </c>
      <c r="E67" s="15" t="s">
        <v>84</v>
      </c>
      <c r="F67" s="2" t="s">
        <v>85</v>
      </c>
      <c r="G67" s="2"/>
    </row>
    <row r="68" spans="1:11" x14ac:dyDescent="0.2">
      <c r="A68" s="13" t="s">
        <v>202</v>
      </c>
      <c r="B68" s="13" t="s">
        <v>203</v>
      </c>
      <c r="C68" s="19">
        <v>0.02</v>
      </c>
      <c r="D68" s="2" t="s">
        <v>204</v>
      </c>
      <c r="E68" s="17" t="s">
        <v>96</v>
      </c>
      <c r="F68" s="2" t="s">
        <v>108</v>
      </c>
      <c r="G68" s="2"/>
    </row>
    <row r="69" spans="1:11" x14ac:dyDescent="0.2">
      <c r="A69" s="13" t="s">
        <v>202</v>
      </c>
      <c r="B69" s="13" t="s">
        <v>205</v>
      </c>
      <c r="C69" s="14">
        <v>10</v>
      </c>
      <c r="D69" s="2" t="s">
        <v>66</v>
      </c>
      <c r="E69" s="15" t="s">
        <v>84</v>
      </c>
      <c r="F69" s="2" t="s">
        <v>85</v>
      </c>
      <c r="G69" s="2" t="s">
        <v>206</v>
      </c>
    </row>
    <row r="70" spans="1:11" x14ac:dyDescent="0.2">
      <c r="A70" s="13" t="s">
        <v>202</v>
      </c>
      <c r="B70" s="13" t="s">
        <v>207</v>
      </c>
      <c r="C70" s="18">
        <f>CHOOSE(Case_Select,I70,J70,K70)</f>
        <v>5.7500000000000002E-2</v>
      </c>
      <c r="D70" s="2" t="s">
        <v>47</v>
      </c>
      <c r="E70" s="17" t="s">
        <v>96</v>
      </c>
      <c r="F70" s="2" t="s">
        <v>208</v>
      </c>
      <c r="G70" s="2" t="s">
        <v>209</v>
      </c>
      <c r="I70" s="19">
        <v>5.7500000000000002E-2</v>
      </c>
      <c r="J70" s="19">
        <v>6.25E-2</v>
      </c>
      <c r="K70" s="19">
        <v>6.7500000000000004E-2</v>
      </c>
    </row>
    <row r="71" spans="1:11" x14ac:dyDescent="0.2">
      <c r="A71" s="13" t="s">
        <v>202</v>
      </c>
      <c r="B71" s="13" t="s">
        <v>210</v>
      </c>
      <c r="C71" s="19">
        <v>0.02</v>
      </c>
      <c r="D71" s="2" t="s">
        <v>211</v>
      </c>
      <c r="E71" s="17" t="s">
        <v>96</v>
      </c>
      <c r="F71" s="2" t="s">
        <v>108</v>
      </c>
      <c r="G71" s="2"/>
    </row>
    <row r="72" spans="1:11" x14ac:dyDescent="0.2">
      <c r="A72" s="13" t="s">
        <v>28</v>
      </c>
      <c r="B72" s="13" t="s">
        <v>212</v>
      </c>
      <c r="C72" s="14">
        <v>1</v>
      </c>
      <c r="D72" s="2" t="s">
        <v>213</v>
      </c>
      <c r="E72" s="15" t="s">
        <v>84</v>
      </c>
      <c r="F72" s="2" t="s">
        <v>85</v>
      </c>
      <c r="G72" s="2"/>
    </row>
    <row r="73" spans="1:11" x14ac:dyDescent="0.2">
      <c r="A73" s="13" t="s">
        <v>28</v>
      </c>
      <c r="B73" s="13" t="s">
        <v>214</v>
      </c>
      <c r="C73" s="19">
        <v>5.21E-2</v>
      </c>
      <c r="D73" s="2" t="s">
        <v>47</v>
      </c>
      <c r="E73" s="20" t="s">
        <v>123</v>
      </c>
      <c r="F73" s="2" t="s">
        <v>215</v>
      </c>
      <c r="G73" s="2"/>
    </row>
    <row r="74" spans="1:11" x14ac:dyDescent="0.2">
      <c r="A74" s="13" t="s">
        <v>28</v>
      </c>
      <c r="B74" s="13" t="s">
        <v>216</v>
      </c>
      <c r="C74" s="19">
        <v>1.7000000000000001E-2</v>
      </c>
      <c r="D74" s="2" t="s">
        <v>47</v>
      </c>
      <c r="E74" s="17" t="s">
        <v>96</v>
      </c>
      <c r="F74" s="2" t="s">
        <v>108</v>
      </c>
      <c r="G74" s="2"/>
    </row>
    <row r="75" spans="1:11" x14ac:dyDescent="0.2">
      <c r="A75" s="13" t="s">
        <v>28</v>
      </c>
      <c r="B75" s="13" t="s">
        <v>217</v>
      </c>
      <c r="C75" s="19">
        <v>3.8800000000000001E-2</v>
      </c>
      <c r="D75" s="2" t="s">
        <v>47</v>
      </c>
      <c r="E75" s="20" t="s">
        <v>123</v>
      </c>
      <c r="F75" s="2" t="s">
        <v>218</v>
      </c>
      <c r="G75" s="2" t="s">
        <v>219</v>
      </c>
    </row>
    <row r="76" spans="1:11" x14ac:dyDescent="0.2">
      <c r="A76" s="13" t="s">
        <v>28</v>
      </c>
      <c r="B76" s="13" t="s">
        <v>220</v>
      </c>
      <c r="C76" s="19">
        <v>2.9000000000000001E-2</v>
      </c>
      <c r="D76" s="2" t="s">
        <v>47</v>
      </c>
      <c r="E76" s="17" t="s">
        <v>96</v>
      </c>
      <c r="F76" s="2" t="s">
        <v>108</v>
      </c>
      <c r="G76" s="2"/>
    </row>
    <row r="77" spans="1:11" x14ac:dyDescent="0.2">
      <c r="A77" s="13" t="s">
        <v>28</v>
      </c>
      <c r="B77" s="13" t="s">
        <v>221</v>
      </c>
      <c r="C77" s="18">
        <f>CHOOSE(Case_Select,I77,J77,K77)</f>
        <v>0</v>
      </c>
      <c r="D77" s="2" t="s">
        <v>47</v>
      </c>
      <c r="E77" s="15" t="s">
        <v>84</v>
      </c>
      <c r="F77" s="2" t="s">
        <v>108</v>
      </c>
      <c r="G77" s="2"/>
      <c r="I77" s="19">
        <v>0</v>
      </c>
      <c r="J77" s="19">
        <v>0.01</v>
      </c>
      <c r="K77" s="19">
        <v>0.02</v>
      </c>
    </row>
    <row r="78" spans="1:11" x14ac:dyDescent="0.2">
      <c r="A78" s="13" t="s">
        <v>28</v>
      </c>
      <c r="B78" s="13" t="s">
        <v>222</v>
      </c>
      <c r="C78" s="14">
        <v>360</v>
      </c>
      <c r="D78" s="2" t="s">
        <v>223</v>
      </c>
      <c r="E78" s="17" t="s">
        <v>96</v>
      </c>
      <c r="F78" s="2" t="s">
        <v>108</v>
      </c>
      <c r="G78" s="2"/>
    </row>
    <row r="79" spans="1:11" x14ac:dyDescent="0.2">
      <c r="A79" s="13" t="s">
        <v>28</v>
      </c>
      <c r="B79" s="13" t="s">
        <v>224</v>
      </c>
      <c r="C79" s="14">
        <v>2</v>
      </c>
      <c r="D79" s="2" t="s">
        <v>66</v>
      </c>
      <c r="E79" s="17" t="s">
        <v>96</v>
      </c>
      <c r="F79" s="2" t="s">
        <v>108</v>
      </c>
      <c r="G79" s="2"/>
    </row>
    <row r="80" spans="1:11" x14ac:dyDescent="0.2">
      <c r="A80" s="13" t="s">
        <v>28</v>
      </c>
      <c r="B80" s="13" t="s">
        <v>225</v>
      </c>
      <c r="C80" s="19">
        <v>0.65</v>
      </c>
      <c r="D80" s="2" t="s">
        <v>47</v>
      </c>
      <c r="E80" s="17" t="s">
        <v>96</v>
      </c>
      <c r="F80" s="2" t="s">
        <v>108</v>
      </c>
      <c r="G80" s="2"/>
    </row>
    <row r="81" spans="1:11" x14ac:dyDescent="0.2">
      <c r="A81" s="13" t="s">
        <v>28</v>
      </c>
      <c r="B81" s="13" t="s">
        <v>226</v>
      </c>
      <c r="C81" s="24">
        <v>1.25</v>
      </c>
      <c r="D81" s="2" t="s">
        <v>53</v>
      </c>
      <c r="E81" s="17" t="s">
        <v>96</v>
      </c>
      <c r="F81" s="2" t="s">
        <v>108</v>
      </c>
      <c r="G81" s="2"/>
    </row>
    <row r="82" spans="1:11" x14ac:dyDescent="0.2">
      <c r="A82" s="13" t="s">
        <v>28</v>
      </c>
      <c r="B82" s="13" t="s">
        <v>227</v>
      </c>
      <c r="C82" s="19">
        <v>0.08</v>
      </c>
      <c r="D82" s="2" t="s">
        <v>47</v>
      </c>
      <c r="E82" s="17" t="s">
        <v>96</v>
      </c>
      <c r="F82" s="2" t="s">
        <v>108</v>
      </c>
      <c r="G82" s="2"/>
    </row>
    <row r="83" spans="1:11" x14ac:dyDescent="0.2">
      <c r="A83" s="13" t="s">
        <v>28</v>
      </c>
      <c r="B83" s="13" t="s">
        <v>228</v>
      </c>
      <c r="C83" s="25">
        <f>CHOOSE(Case_Select,I83,J83,K83)</f>
        <v>0</v>
      </c>
      <c r="D83" s="2" t="s">
        <v>44</v>
      </c>
      <c r="E83" s="15" t="s">
        <v>84</v>
      </c>
      <c r="F83" s="2" t="s">
        <v>85</v>
      </c>
      <c r="G83" s="2" t="s">
        <v>229</v>
      </c>
      <c r="I83" s="21">
        <v>0</v>
      </c>
      <c r="J83" s="21">
        <v>25961675.341779791</v>
      </c>
      <c r="K83" s="21">
        <v>25961675.341779791</v>
      </c>
    </row>
    <row r="84" spans="1:11" x14ac:dyDescent="0.2">
      <c r="A84" s="13" t="s">
        <v>28</v>
      </c>
      <c r="B84" s="13" t="s">
        <v>230</v>
      </c>
      <c r="C84" s="19">
        <v>0.01</v>
      </c>
      <c r="D84" s="2" t="s">
        <v>231</v>
      </c>
      <c r="E84" s="17" t="s">
        <v>96</v>
      </c>
      <c r="F84" s="2" t="s">
        <v>108</v>
      </c>
      <c r="G84" s="2"/>
    </row>
    <row r="85" spans="1:11" x14ac:dyDescent="0.2">
      <c r="A85" s="13" t="s">
        <v>28</v>
      </c>
      <c r="B85" s="13" t="s">
        <v>232</v>
      </c>
      <c r="C85" s="24">
        <v>1.2</v>
      </c>
      <c r="D85" s="2" t="s">
        <v>53</v>
      </c>
      <c r="E85" s="15" t="s">
        <v>84</v>
      </c>
      <c r="F85" s="2" t="s">
        <v>108</v>
      </c>
      <c r="G85" s="2"/>
    </row>
    <row r="86" spans="1:11" x14ac:dyDescent="0.2">
      <c r="A86" s="13" t="s">
        <v>28</v>
      </c>
      <c r="B86" s="13" t="s">
        <v>233</v>
      </c>
      <c r="C86" s="24">
        <v>1.1000000000000001</v>
      </c>
      <c r="D86" s="2" t="s">
        <v>53</v>
      </c>
      <c r="E86" s="15" t="s">
        <v>84</v>
      </c>
      <c r="F86" s="2" t="s">
        <v>108</v>
      </c>
      <c r="G86" s="2"/>
    </row>
    <row r="87" spans="1:11" x14ac:dyDescent="0.2">
      <c r="A87" s="13" t="s">
        <v>28</v>
      </c>
      <c r="B87" s="13" t="s">
        <v>234</v>
      </c>
      <c r="C87" s="19">
        <v>7.4999999999999997E-2</v>
      </c>
      <c r="D87" s="2" t="s">
        <v>47</v>
      </c>
      <c r="E87" s="15" t="s">
        <v>84</v>
      </c>
      <c r="F87" s="2" t="s">
        <v>108</v>
      </c>
      <c r="G87" s="2"/>
    </row>
    <row r="88" spans="1:11" x14ac:dyDescent="0.2">
      <c r="A88" s="13" t="s">
        <v>28</v>
      </c>
      <c r="B88" s="13" t="s">
        <v>235</v>
      </c>
      <c r="C88" s="19">
        <v>6.5000000000000002E-2</v>
      </c>
      <c r="D88" s="2" t="s">
        <v>47</v>
      </c>
      <c r="E88" s="15" t="s">
        <v>84</v>
      </c>
      <c r="F88" s="2" t="s">
        <v>108</v>
      </c>
      <c r="G88" s="2"/>
    </row>
    <row r="89" spans="1:11" x14ac:dyDescent="0.2">
      <c r="A89" s="13" t="s">
        <v>236</v>
      </c>
      <c r="B89" s="13" t="s">
        <v>237</v>
      </c>
      <c r="C89" s="14">
        <v>1</v>
      </c>
      <c r="D89" s="2" t="s">
        <v>213</v>
      </c>
      <c r="E89" s="15" t="s">
        <v>84</v>
      </c>
      <c r="F89" s="2" t="s">
        <v>85</v>
      </c>
      <c r="G89" s="2" t="s">
        <v>238</v>
      </c>
    </row>
    <row r="90" spans="1:11" x14ac:dyDescent="0.2">
      <c r="A90" s="13" t="s">
        <v>239</v>
      </c>
      <c r="B90" s="13" t="s">
        <v>240</v>
      </c>
      <c r="C90" s="14">
        <v>12</v>
      </c>
      <c r="D90" s="2" t="s">
        <v>223</v>
      </c>
      <c r="E90" s="26" t="s">
        <v>241</v>
      </c>
      <c r="F90" s="2" t="s">
        <v>242</v>
      </c>
      <c r="G90" s="2"/>
    </row>
    <row r="91" spans="1:11" x14ac:dyDescent="0.2">
      <c r="A91" s="13" t="s">
        <v>239</v>
      </c>
      <c r="B91" s="13" t="s">
        <v>243</v>
      </c>
      <c r="C91" s="16">
        <v>1000</v>
      </c>
      <c r="D91" s="2" t="s">
        <v>159</v>
      </c>
      <c r="E91" s="26" t="s">
        <v>241</v>
      </c>
      <c r="F91" s="2" t="s">
        <v>242</v>
      </c>
      <c r="G91" s="2"/>
    </row>
    <row r="92" spans="1:11" x14ac:dyDescent="0.2">
      <c r="A92" s="13" t="s">
        <v>239</v>
      </c>
      <c r="B92" s="13" t="s">
        <v>244</v>
      </c>
      <c r="C92" s="14">
        <v>293.0711</v>
      </c>
      <c r="D92" s="2" t="s">
        <v>159</v>
      </c>
      <c r="E92" s="26" t="s">
        <v>241</v>
      </c>
      <c r="F92" s="2" t="s">
        <v>242</v>
      </c>
      <c r="G92" s="2"/>
    </row>
    <row r="93" spans="1:11" x14ac:dyDescent="0.2">
      <c r="A93" s="13" t="s">
        <v>239</v>
      </c>
      <c r="B93" s="13" t="s">
        <v>245</v>
      </c>
      <c r="C93" s="16">
        <v>1000</v>
      </c>
      <c r="D93" s="2" t="s">
        <v>159</v>
      </c>
      <c r="E93" s="26" t="s">
        <v>241</v>
      </c>
      <c r="F93" s="2" t="s">
        <v>242</v>
      </c>
      <c r="G93" s="2"/>
    </row>
    <row r="94" spans="1:11" x14ac:dyDescent="0.2">
      <c r="A94" s="13" t="s">
        <v>239</v>
      </c>
      <c r="B94" s="13" t="s">
        <v>246</v>
      </c>
      <c r="C94" s="16">
        <v>1000</v>
      </c>
      <c r="D94" s="2" t="s">
        <v>159</v>
      </c>
      <c r="E94" s="26" t="s">
        <v>241</v>
      </c>
      <c r="F94" s="2" t="s">
        <v>242</v>
      </c>
      <c r="G94" s="2"/>
    </row>
    <row r="95" spans="1:11" x14ac:dyDescent="0.2">
      <c r="A95" s="13" t="s">
        <v>239</v>
      </c>
      <c r="B95" s="13" t="s">
        <v>247</v>
      </c>
      <c r="C95" s="16">
        <v>1000</v>
      </c>
      <c r="D95" s="2" t="s">
        <v>159</v>
      </c>
      <c r="E95" s="26" t="s">
        <v>241</v>
      </c>
      <c r="F95" s="2" t="s">
        <v>242</v>
      </c>
      <c r="G95" s="2"/>
    </row>
    <row r="96" spans="1:11" x14ac:dyDescent="0.2">
      <c r="A96" s="13" t="s">
        <v>239</v>
      </c>
      <c r="B96" s="13" t="s">
        <v>248</v>
      </c>
      <c r="C96" s="16">
        <v>1000</v>
      </c>
      <c r="D96" s="2" t="s">
        <v>159</v>
      </c>
      <c r="E96" s="26" t="s">
        <v>241</v>
      </c>
      <c r="F96" s="2" t="s">
        <v>242</v>
      </c>
      <c r="G96" s="2"/>
    </row>
    <row r="97" spans="1:7" x14ac:dyDescent="0.2">
      <c r="A97" s="13" t="s">
        <v>239</v>
      </c>
      <c r="B97" s="13" t="s">
        <v>249</v>
      </c>
      <c r="C97" s="16">
        <v>2204.62</v>
      </c>
      <c r="D97" s="2" t="s">
        <v>159</v>
      </c>
      <c r="E97" s="26" t="s">
        <v>241</v>
      </c>
      <c r="F97" s="2" t="s">
        <v>242</v>
      </c>
      <c r="G97" s="2"/>
    </row>
    <row r="98" spans="1:7" x14ac:dyDescent="0.2">
      <c r="A98" s="13" t="s">
        <v>239</v>
      </c>
      <c r="B98" s="13" t="s">
        <v>250</v>
      </c>
      <c r="C98" s="27">
        <v>9.9999999999999995E-7</v>
      </c>
      <c r="D98" s="2" t="s">
        <v>44</v>
      </c>
      <c r="E98" s="26" t="s">
        <v>241</v>
      </c>
      <c r="F98" s="2" t="s">
        <v>242</v>
      </c>
      <c r="G98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showGridLines="0" workbookViewId="0"/>
  </sheetViews>
  <sheetFormatPr baseColWidth="10" defaultColWidth="8.83203125" defaultRowHeight="15" x14ac:dyDescent="0.2"/>
  <cols>
    <col min="1" max="1" width="24" customWidth="1"/>
    <col min="2" max="2" width="110" customWidth="1"/>
    <col min="3" max="3" width="70" customWidth="1"/>
    <col min="4" max="4" width="12" customWidth="1"/>
  </cols>
  <sheetData>
    <row r="1" spans="1:4" ht="18" x14ac:dyDescent="0.2">
      <c r="A1" s="11" t="s">
        <v>20</v>
      </c>
    </row>
    <row r="3" spans="1:4" x14ac:dyDescent="0.2">
      <c r="A3" s="12" t="s">
        <v>76</v>
      </c>
      <c r="B3" s="12" t="s">
        <v>251</v>
      </c>
      <c r="C3" s="12" t="s">
        <v>252</v>
      </c>
      <c r="D3" s="12" t="s">
        <v>253</v>
      </c>
    </row>
    <row r="4" spans="1:4" ht="16" x14ac:dyDescent="0.2">
      <c r="A4" t="s">
        <v>141</v>
      </c>
      <c r="B4" s="28" t="s">
        <v>254</v>
      </c>
      <c r="C4" t="s">
        <v>255</v>
      </c>
      <c r="D4" t="s">
        <v>10</v>
      </c>
    </row>
    <row r="5" spans="1:4" ht="32" x14ac:dyDescent="0.2">
      <c r="A5" t="s">
        <v>145</v>
      </c>
      <c r="B5" s="28" t="s">
        <v>256</v>
      </c>
      <c r="C5" t="s">
        <v>257</v>
      </c>
      <c r="D5" t="s">
        <v>10</v>
      </c>
    </row>
    <row r="6" spans="1:4" ht="16" x14ac:dyDescent="0.2">
      <c r="A6" t="s">
        <v>151</v>
      </c>
      <c r="B6" s="28" t="s">
        <v>258</v>
      </c>
      <c r="C6" t="s">
        <v>259</v>
      </c>
      <c r="D6" t="s">
        <v>10</v>
      </c>
    </row>
    <row r="7" spans="1:4" ht="32" x14ac:dyDescent="0.2">
      <c r="A7" t="s">
        <v>154</v>
      </c>
      <c r="B7" s="28" t="s">
        <v>260</v>
      </c>
      <c r="C7" t="s">
        <v>261</v>
      </c>
      <c r="D7" t="s">
        <v>10</v>
      </c>
    </row>
    <row r="8" spans="1:4" ht="32" x14ac:dyDescent="0.2">
      <c r="A8" t="s">
        <v>157</v>
      </c>
      <c r="B8" s="28" t="s">
        <v>262</v>
      </c>
      <c r="C8" t="s">
        <v>263</v>
      </c>
      <c r="D8" t="s">
        <v>10</v>
      </c>
    </row>
    <row r="9" spans="1:4" ht="32" x14ac:dyDescent="0.2">
      <c r="A9" t="s">
        <v>189</v>
      </c>
      <c r="B9" s="28" t="s">
        <v>264</v>
      </c>
      <c r="C9" t="s">
        <v>265</v>
      </c>
      <c r="D9" t="s">
        <v>10</v>
      </c>
    </row>
    <row r="10" spans="1:4" ht="32" x14ac:dyDescent="0.2">
      <c r="A10" t="s">
        <v>174</v>
      </c>
      <c r="B10" s="28" t="s">
        <v>266</v>
      </c>
      <c r="C10" t="s">
        <v>267</v>
      </c>
      <c r="D10" t="s">
        <v>10</v>
      </c>
    </row>
    <row r="11" spans="1:4" ht="32" x14ac:dyDescent="0.2">
      <c r="A11" t="s">
        <v>171</v>
      </c>
      <c r="B11" s="28" t="s">
        <v>268</v>
      </c>
      <c r="C11" t="s">
        <v>269</v>
      </c>
      <c r="D11" t="s">
        <v>10</v>
      </c>
    </row>
    <row r="12" spans="1:4" ht="32" x14ac:dyDescent="0.2">
      <c r="A12" t="s">
        <v>97</v>
      </c>
      <c r="B12" s="28" t="s">
        <v>270</v>
      </c>
      <c r="C12" t="s">
        <v>271</v>
      </c>
      <c r="D12" t="s">
        <v>10</v>
      </c>
    </row>
    <row r="13" spans="1:4" ht="16" x14ac:dyDescent="0.2">
      <c r="A13" t="s">
        <v>124</v>
      </c>
      <c r="B13" s="28" t="s">
        <v>272</v>
      </c>
      <c r="C13" t="s">
        <v>273</v>
      </c>
      <c r="D13" t="s">
        <v>10</v>
      </c>
    </row>
    <row r="14" spans="1:4" ht="48" x14ac:dyDescent="0.2">
      <c r="A14" t="s">
        <v>198</v>
      </c>
      <c r="B14" s="28" t="s">
        <v>274</v>
      </c>
      <c r="C14" t="s">
        <v>275</v>
      </c>
      <c r="D14" t="s">
        <v>10</v>
      </c>
    </row>
    <row r="15" spans="1:4" ht="16" x14ac:dyDescent="0.2">
      <c r="A15" t="s">
        <v>208</v>
      </c>
      <c r="B15" s="28" t="s">
        <v>276</v>
      </c>
      <c r="C15" t="s">
        <v>277</v>
      </c>
      <c r="D15" t="s">
        <v>10</v>
      </c>
    </row>
    <row r="16" spans="1:4" ht="16" x14ac:dyDescent="0.2">
      <c r="A16" t="s">
        <v>215</v>
      </c>
      <c r="B16" s="28" t="s">
        <v>278</v>
      </c>
      <c r="C16" t="s">
        <v>279</v>
      </c>
      <c r="D16" t="s">
        <v>10</v>
      </c>
    </row>
    <row r="17" spans="1:4" ht="16" x14ac:dyDescent="0.2">
      <c r="A17" t="s">
        <v>218</v>
      </c>
      <c r="B17" s="28" t="s">
        <v>280</v>
      </c>
      <c r="C17" t="s">
        <v>281</v>
      </c>
      <c r="D17" t="s">
        <v>10</v>
      </c>
    </row>
    <row r="18" spans="1:4" ht="16" x14ac:dyDescent="0.2">
      <c r="A18" t="s">
        <v>85</v>
      </c>
      <c r="B18" s="28" t="s">
        <v>282</v>
      </c>
      <c r="D18" t="s">
        <v>10</v>
      </c>
    </row>
    <row r="19" spans="1:4" ht="16" x14ac:dyDescent="0.2">
      <c r="A19" t="s">
        <v>108</v>
      </c>
      <c r="B19" s="28" t="s">
        <v>283</v>
      </c>
      <c r="D19" t="s">
        <v>10</v>
      </c>
    </row>
    <row r="20" spans="1:4" ht="16" x14ac:dyDescent="0.2">
      <c r="A20" t="s">
        <v>242</v>
      </c>
      <c r="B20" s="28" t="s">
        <v>284</v>
      </c>
      <c r="D20" t="s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showGridLines="0" workbookViewId="0"/>
  </sheetViews>
  <sheetFormatPr baseColWidth="10" defaultColWidth="8.83203125" defaultRowHeight="15" x14ac:dyDescent="0.2"/>
  <cols>
    <col min="1" max="1" width="44" customWidth="1"/>
    <col min="2" max="2" width="14" customWidth="1"/>
    <col min="3" max="6" width="15" customWidth="1"/>
    <col min="7" max="14" width="13" customWidth="1"/>
  </cols>
  <sheetData>
    <row r="1" spans="1:6" ht="18" x14ac:dyDescent="0.2">
      <c r="A1" s="11" t="s">
        <v>81</v>
      </c>
    </row>
    <row r="2" spans="1:6" x14ac:dyDescent="0.2">
      <c r="A2" s="2" t="s">
        <v>285</v>
      </c>
    </row>
    <row r="4" spans="1:6" x14ac:dyDescent="0.2">
      <c r="A4" s="3" t="s">
        <v>286</v>
      </c>
      <c r="B4" s="3" t="s">
        <v>287</v>
      </c>
      <c r="C4" s="3" t="s">
        <v>288</v>
      </c>
      <c r="D4" s="3" t="s">
        <v>289</v>
      </c>
      <c r="E4" s="3" t="s">
        <v>290</v>
      </c>
      <c r="F4" s="3" t="s">
        <v>291</v>
      </c>
    </row>
    <row r="5" spans="1:6" x14ac:dyDescent="0.2">
      <c r="A5" t="s">
        <v>292</v>
      </c>
      <c r="B5" s="5">
        <f>Units_Studio</f>
        <v>20</v>
      </c>
      <c r="C5" s="5">
        <f>SF_Studio</f>
        <v>520</v>
      </c>
      <c r="D5" s="5">
        <f>Rent_Studio</f>
        <v>1750</v>
      </c>
      <c r="E5" s="5">
        <f>B5*D5*Months</f>
        <v>420000</v>
      </c>
      <c r="F5" s="5">
        <f>B5*C5</f>
        <v>10400</v>
      </c>
    </row>
    <row r="6" spans="1:6" x14ac:dyDescent="0.2">
      <c r="A6" t="s">
        <v>293</v>
      </c>
      <c r="B6" s="5">
        <f>Units_1BR</f>
        <v>80</v>
      </c>
      <c r="C6" s="5">
        <f>SF_1BR</f>
        <v>720</v>
      </c>
      <c r="D6" s="5">
        <f>Rent_1BR</f>
        <v>2050</v>
      </c>
      <c r="E6" s="5">
        <f>B6*D6*Months</f>
        <v>1968000</v>
      </c>
      <c r="F6" s="5">
        <f>B6*C6</f>
        <v>57600</v>
      </c>
    </row>
    <row r="7" spans="1:6" x14ac:dyDescent="0.2">
      <c r="A7" t="s">
        <v>294</v>
      </c>
      <c r="B7" s="5">
        <f>Units_2BR</f>
        <v>45</v>
      </c>
      <c r="C7" s="5">
        <f>SF_2BR</f>
        <v>1000</v>
      </c>
      <c r="D7" s="5">
        <f>Rent_2BR</f>
        <v>2600</v>
      </c>
      <c r="E7" s="5">
        <f>B7*D7*Months</f>
        <v>1404000</v>
      </c>
      <c r="F7" s="5">
        <f>B7*C7</f>
        <v>45000</v>
      </c>
    </row>
    <row r="8" spans="1:6" x14ac:dyDescent="0.2">
      <c r="A8" t="s">
        <v>295</v>
      </c>
      <c r="B8" s="5">
        <f>Units_3BR</f>
        <v>5</v>
      </c>
      <c r="C8" s="5">
        <f>SF_3BR</f>
        <v>1250</v>
      </c>
      <c r="D8" s="5">
        <f>Rent_3BR</f>
        <v>3150</v>
      </c>
      <c r="E8" s="5">
        <f>B8*D8*Months</f>
        <v>189000</v>
      </c>
      <c r="F8" s="5">
        <f>B8*C8</f>
        <v>6250</v>
      </c>
    </row>
    <row r="9" spans="1:6" x14ac:dyDescent="0.2">
      <c r="A9" s="3" t="s">
        <v>296</v>
      </c>
      <c r="B9" s="29">
        <f>SUM(B5:B8)</f>
        <v>150</v>
      </c>
      <c r="D9" s="5">
        <f>E9/B9/Months</f>
        <v>2211.6666666666665</v>
      </c>
      <c r="E9" s="29">
        <f>SUM(E5:E8)</f>
        <v>3981000</v>
      </c>
      <c r="F9" s="29">
        <f>SUM(F5:F8)</f>
        <v>119250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8"/>
  <sheetViews>
    <sheetView showGridLines="0" workbookViewId="0"/>
  </sheetViews>
  <sheetFormatPr baseColWidth="10" defaultColWidth="8.83203125" defaultRowHeight="15" x14ac:dyDescent="0.2"/>
  <cols>
    <col min="1" max="1" width="44" customWidth="1"/>
    <col min="2" max="2" width="14" customWidth="1"/>
    <col min="3" max="3" width="15" customWidth="1"/>
    <col min="4" max="14" width="13" customWidth="1"/>
  </cols>
  <sheetData>
    <row r="1" spans="1:14" ht="18" x14ac:dyDescent="0.2">
      <c r="A1" s="11" t="s">
        <v>297</v>
      </c>
    </row>
    <row r="2" spans="1:14" x14ac:dyDescent="0.2">
      <c r="A2" s="2" t="s">
        <v>298</v>
      </c>
    </row>
    <row r="4" spans="1:14" x14ac:dyDescent="0.2">
      <c r="A4" s="30" t="s">
        <v>299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</row>
    <row r="5" spans="1:14" x14ac:dyDescent="0.2">
      <c r="A5" s="13" t="s">
        <v>300</v>
      </c>
      <c r="B5" s="2" t="s">
        <v>301</v>
      </c>
      <c r="C5" s="32">
        <f>GFA*Site_EUI_Base/kBtu_per_MMBtu</f>
        <v>8940</v>
      </c>
    </row>
    <row r="6" spans="1:14" x14ac:dyDescent="0.2">
      <c r="A6" s="13" t="s">
        <v>302</v>
      </c>
      <c r="B6" s="2" t="s">
        <v>301</v>
      </c>
      <c r="C6" s="32">
        <f>Site_MMBtu_Base*Share_Heat_Gas</f>
        <v>2503.2000000000003</v>
      </c>
    </row>
    <row r="7" spans="1:14" x14ac:dyDescent="0.2">
      <c r="A7" s="13" t="s">
        <v>303</v>
      </c>
      <c r="B7" s="2" t="s">
        <v>301</v>
      </c>
      <c r="C7" s="32">
        <f>Site_MMBtu_Base*Share_DHW_Gas</f>
        <v>1966.8</v>
      </c>
    </row>
    <row r="8" spans="1:14" x14ac:dyDescent="0.2">
      <c r="A8" s="13" t="s">
        <v>304</v>
      </c>
      <c r="B8" s="2" t="s">
        <v>301</v>
      </c>
      <c r="C8" s="32">
        <f>Gas_Heat_MMBtu+Gas_DHW_MMBtu</f>
        <v>4470</v>
      </c>
    </row>
    <row r="9" spans="1:14" x14ac:dyDescent="0.2">
      <c r="A9" s="13" t="s">
        <v>305</v>
      </c>
      <c r="B9" s="2" t="s">
        <v>306</v>
      </c>
      <c r="C9" s="32">
        <f>Site_MMBtu_Base*Share_Common_Elec*kWh_per_MMBtu</f>
        <v>314406.67608</v>
      </c>
    </row>
    <row r="10" spans="1:14" x14ac:dyDescent="0.2">
      <c r="A10" s="13" t="s">
        <v>307</v>
      </c>
      <c r="B10" s="2" t="s">
        <v>306</v>
      </c>
      <c r="C10" s="32">
        <f>Site_MMBtu_Base*Share_Tenant_Elec*kWh_per_MMBtu</f>
        <v>995621.14091999992</v>
      </c>
    </row>
    <row r="11" spans="1:14" x14ac:dyDescent="0.2">
      <c r="A11" s="13" t="s">
        <v>308</v>
      </c>
      <c r="B11" s="2" t="s">
        <v>309</v>
      </c>
      <c r="C11" s="33">
        <f>Gas_Price_Mcf/Gas_MMBtu_Per_Mcf</f>
        <v>13.996101364522417</v>
      </c>
    </row>
    <row r="13" spans="1:14" x14ac:dyDescent="0.2">
      <c r="A13" s="30" t="s">
        <v>34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</row>
    <row r="14" spans="1:14" x14ac:dyDescent="0.2">
      <c r="A14" s="13" t="s">
        <v>310</v>
      </c>
      <c r="B14" s="2" t="s">
        <v>306</v>
      </c>
      <c r="C14" s="32">
        <f>Gas_Heat_MMBtu*(1-Gas_Retained_Share)*Boiler_Eff*(1-Envelope_Heat_Reduction)/COP_Heat*kWh_per_MMBtu</f>
        <v>203155.0830055385</v>
      </c>
    </row>
    <row r="15" spans="1:14" x14ac:dyDescent="0.2">
      <c r="A15" s="13" t="s">
        <v>311</v>
      </c>
      <c r="B15" s="2" t="s">
        <v>306</v>
      </c>
      <c r="C15" s="32">
        <f>Gas_DHW_MMBtu*(1-Gas_Retained_Share)*Boiler_Eff/COP_DHW*kWh_per_MMBtu</f>
        <v>164689.21128000002</v>
      </c>
    </row>
    <row r="16" spans="1:14" x14ac:dyDescent="0.2">
      <c r="A16" s="13" t="s">
        <v>312</v>
      </c>
      <c r="B16" s="2" t="s">
        <v>301</v>
      </c>
      <c r="C16" s="32">
        <f>Gas_SQ_MMBtu*Gas_Retained_Share</f>
        <v>0</v>
      </c>
    </row>
    <row r="17" spans="1:14" x14ac:dyDescent="0.2">
      <c r="A17" s="13" t="s">
        <v>313</v>
      </c>
      <c r="B17" s="2" t="s">
        <v>306</v>
      </c>
      <c r="C17" s="32">
        <f>Common_kWh*(1-LED_Savings)</f>
        <v>267245.67466800002</v>
      </c>
    </row>
    <row r="18" spans="1:14" x14ac:dyDescent="0.2">
      <c r="A18" s="13" t="s">
        <v>314</v>
      </c>
      <c r="B18" s="2" t="s">
        <v>306</v>
      </c>
      <c r="C18" s="32">
        <f>Common_RF_kWh+HP_Heat_kWh+HP_DHW_kWh</f>
        <v>635089.96895353857</v>
      </c>
    </row>
    <row r="19" spans="1:14" x14ac:dyDescent="0.2">
      <c r="A19" s="13" t="s">
        <v>315</v>
      </c>
      <c r="B19" s="2" t="s">
        <v>306</v>
      </c>
      <c r="C19" s="32">
        <f>Solar_kWdc*Solar_Yield</f>
        <v>237186</v>
      </c>
    </row>
    <row r="20" spans="1:14" x14ac:dyDescent="0.2">
      <c r="A20" s="13" t="s">
        <v>316</v>
      </c>
      <c r="B20" s="2" t="s">
        <v>306</v>
      </c>
      <c r="C20" s="32">
        <f>Owner_Gross_RF_kWh-Solar_kWh</f>
        <v>397903.96895353857</v>
      </c>
    </row>
    <row r="22" spans="1:14" x14ac:dyDescent="0.2">
      <c r="A22" s="30" t="s">
        <v>317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</row>
    <row r="23" spans="1:14" x14ac:dyDescent="0.2">
      <c r="A23" s="13" t="s">
        <v>318</v>
      </c>
      <c r="B23" s="2" t="s">
        <v>60</v>
      </c>
      <c r="C23" s="34">
        <f>Site_EUI_Base</f>
        <v>59.6</v>
      </c>
    </row>
    <row r="24" spans="1:14" x14ac:dyDescent="0.2">
      <c r="A24" s="13" t="s">
        <v>319</v>
      </c>
      <c r="B24" s="2" t="s">
        <v>60</v>
      </c>
      <c r="C24" s="34">
        <f>(Tenant_kWh+Owner_Gross_RF_kWh+Gas_RF_MMBtu*kWh_per_MMBtu)*kBtu_per_MMBtu/kWh_per_MMBtu/GFA</f>
        <v>37.094778021978016</v>
      </c>
    </row>
    <row r="25" spans="1:14" x14ac:dyDescent="0.2">
      <c r="A25" s="13" t="s">
        <v>320</v>
      </c>
      <c r="B25" s="2" t="s">
        <v>60</v>
      </c>
      <c r="C25" s="34">
        <f>(Tenant_kWh+Grid_RF_kWh+Gas_RF_MMBtu*kWh_per_MMBtu)*kBtu_per_MMBtu/kWh_per_MMBtu/GFA</f>
        <v>31.699363735137723</v>
      </c>
    </row>
    <row r="26" spans="1:14" x14ac:dyDescent="0.2">
      <c r="A26" s="13" t="s">
        <v>321</v>
      </c>
      <c r="B26" s="2" t="s">
        <v>47</v>
      </c>
      <c r="C26" s="35">
        <f>1-EUI_RF/EUI_Base</f>
        <v>0.37760439560439574</v>
      </c>
    </row>
    <row r="28" spans="1:14" x14ac:dyDescent="0.2">
      <c r="A28" s="30" t="s">
        <v>186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</row>
    <row r="29" spans="1:14" x14ac:dyDescent="0.2">
      <c r="A29" s="13" t="s">
        <v>322</v>
      </c>
      <c r="B29" s="2" t="s">
        <v>323</v>
      </c>
      <c r="C29" s="36">
        <f>(NG_CO2_kg_MMBtu+(NG_CH4_g_MMBtu*GWP_CH4+NG_N2O_g_MMBtu*GWP_N2O)/g_per_kg)/kg_per_t</f>
        <v>5.3114500000000002E-2</v>
      </c>
    </row>
    <row r="30" spans="1:14" x14ac:dyDescent="0.2">
      <c r="A30" s="13" t="s">
        <v>324</v>
      </c>
      <c r="B30" s="2" t="s">
        <v>325</v>
      </c>
      <c r="C30" s="37">
        <f>Grid_CO2e_lb_MWh/kWh_per_MWh/lb_per_t</f>
        <v>2.9950739810035289E-4</v>
      </c>
    </row>
    <row r="31" spans="1:14" x14ac:dyDescent="0.2">
      <c r="A31" s="13" t="s">
        <v>326</v>
      </c>
      <c r="B31" s="2" t="s">
        <v>62</v>
      </c>
      <c r="C31" s="34">
        <f>Gas_SQ_MMBtu*NG_tCO2e_MMBtu</f>
        <v>237.42181500000001</v>
      </c>
    </row>
    <row r="32" spans="1:14" x14ac:dyDescent="0.2">
      <c r="A32" s="13" t="s">
        <v>327</v>
      </c>
      <c r="B32" s="2" t="s">
        <v>62</v>
      </c>
      <c r="C32" s="34">
        <f>Common_kWh*Grid_tCO2e_kWh</f>
        <v>94.167125498101257</v>
      </c>
    </row>
    <row r="33" spans="1:3" x14ac:dyDescent="0.2">
      <c r="A33" s="13" t="s">
        <v>328</v>
      </c>
      <c r="B33" s="2" t="s">
        <v>62</v>
      </c>
      <c r="C33" s="34">
        <f>Gas_RF_MMBtu*NG_tCO2e_MMBtu</f>
        <v>0</v>
      </c>
    </row>
    <row r="34" spans="1:3" x14ac:dyDescent="0.2">
      <c r="A34" s="13" t="s">
        <v>329</v>
      </c>
      <c r="B34" s="2" t="s">
        <v>62</v>
      </c>
      <c r="C34" s="34">
        <f>Grid_RF_kWh*Grid_tCO2e_kWh</f>
        <v>119.17518243507793</v>
      </c>
    </row>
    <row r="35" spans="1:3" x14ac:dyDescent="0.2">
      <c r="A35" s="13" t="s">
        <v>330</v>
      </c>
      <c r="B35" s="2" t="s">
        <v>62</v>
      </c>
      <c r="C35" s="34">
        <f>Tenant_kWh*Grid_tCO2e_kWh</f>
        <v>298.19589741065397</v>
      </c>
    </row>
    <row r="36" spans="1:3" x14ac:dyDescent="0.2">
      <c r="A36" s="13" t="s">
        <v>331</v>
      </c>
      <c r="B36" s="2" t="s">
        <v>62</v>
      </c>
      <c r="C36" s="34">
        <f>Scope1_SQ+Scope2_SQ</f>
        <v>331.58894049810124</v>
      </c>
    </row>
    <row r="37" spans="1:3" x14ac:dyDescent="0.2">
      <c r="A37" s="13" t="s">
        <v>332</v>
      </c>
      <c r="B37" s="2" t="s">
        <v>62</v>
      </c>
      <c r="C37" s="34">
        <f>Scope1_RF+Scope2_RF</f>
        <v>119.17518243507793</v>
      </c>
    </row>
    <row r="38" spans="1:3" x14ac:dyDescent="0.2">
      <c r="A38" s="3" t="s">
        <v>333</v>
      </c>
      <c r="B38" s="2" t="s">
        <v>62</v>
      </c>
      <c r="C38" s="38">
        <f>Owner_tCO2e_SQ-Owner_tCO2e_RF</f>
        <v>212.41375806302329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2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4" customWidth="1"/>
    <col min="2" max="2" width="14" customWidth="1"/>
    <col min="3" max="3" width="15" customWidth="1"/>
    <col min="4" max="14" width="13" customWidth="1"/>
  </cols>
  <sheetData>
    <row r="1" spans="1:14" ht="18" x14ac:dyDescent="0.2">
      <c r="A1" s="11" t="s">
        <v>334</v>
      </c>
    </row>
    <row r="2" spans="1:14" x14ac:dyDescent="0.2">
      <c r="A2" s="2" t="s">
        <v>335</v>
      </c>
    </row>
    <row r="4" spans="1:14" x14ac:dyDescent="0.2">
      <c r="A4" s="39" t="s">
        <v>336</v>
      </c>
      <c r="B4" s="39" t="s">
        <v>42</v>
      </c>
      <c r="C4" s="40"/>
      <c r="D4" s="40">
        <v>1</v>
      </c>
      <c r="E4" s="40">
        <f t="shared" ref="E4:N4" si="0">D4+1</f>
        <v>2</v>
      </c>
      <c r="F4" s="40">
        <f t="shared" si="0"/>
        <v>3</v>
      </c>
      <c r="G4" s="40">
        <f t="shared" si="0"/>
        <v>4</v>
      </c>
      <c r="H4" s="40">
        <f t="shared" si="0"/>
        <v>5</v>
      </c>
      <c r="I4" s="40">
        <f t="shared" si="0"/>
        <v>6</v>
      </c>
      <c r="J4" s="40">
        <f t="shared" si="0"/>
        <v>7</v>
      </c>
      <c r="K4" s="40">
        <f t="shared" si="0"/>
        <v>8</v>
      </c>
      <c r="L4" s="40">
        <f t="shared" si="0"/>
        <v>9</v>
      </c>
      <c r="M4" s="40">
        <f t="shared" si="0"/>
        <v>10</v>
      </c>
      <c r="N4" s="40">
        <f t="shared" si="0"/>
        <v>11</v>
      </c>
    </row>
    <row r="5" spans="1:14" x14ac:dyDescent="0.2">
      <c r="A5" s="30" t="s">
        <v>337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</row>
    <row r="6" spans="1:14" x14ac:dyDescent="0.2">
      <c r="A6" t="s">
        <v>338</v>
      </c>
      <c r="B6" s="2" t="s">
        <v>339</v>
      </c>
      <c r="D6" s="36">
        <f t="shared" ref="D6:N6" si="1">(1+Rent_Growth)^(D4-1)</f>
        <v>1</v>
      </c>
      <c r="E6" s="36">
        <f t="shared" si="1"/>
        <v>1.03</v>
      </c>
      <c r="F6" s="36">
        <f t="shared" si="1"/>
        <v>1.0609</v>
      </c>
      <c r="G6" s="36">
        <f t="shared" si="1"/>
        <v>1.092727</v>
      </c>
      <c r="H6" s="36">
        <f t="shared" si="1"/>
        <v>1.1255088099999999</v>
      </c>
      <c r="I6" s="36">
        <f t="shared" si="1"/>
        <v>1.1592740742999998</v>
      </c>
      <c r="J6" s="36">
        <f t="shared" si="1"/>
        <v>1.1940522965289999</v>
      </c>
      <c r="K6" s="36">
        <f t="shared" si="1"/>
        <v>1.22987386542487</v>
      </c>
      <c r="L6" s="36">
        <f t="shared" si="1"/>
        <v>1.2667700813876159</v>
      </c>
      <c r="M6" s="36">
        <f t="shared" si="1"/>
        <v>1.3047731838292445</v>
      </c>
      <c r="N6" s="36">
        <f t="shared" si="1"/>
        <v>1.3439163793441218</v>
      </c>
    </row>
    <row r="7" spans="1:14" x14ac:dyDescent="0.2">
      <c r="A7" t="s">
        <v>340</v>
      </c>
      <c r="B7" s="2" t="s">
        <v>339</v>
      </c>
      <c r="D7" s="36">
        <f t="shared" ref="D7:N7" si="2">(1+Other_Income_Growth)^(D4-1)</f>
        <v>1</v>
      </c>
      <c r="E7" s="36">
        <f t="shared" si="2"/>
        <v>1.0249999999999999</v>
      </c>
      <c r="F7" s="36">
        <f t="shared" si="2"/>
        <v>1.0506249999999999</v>
      </c>
      <c r="G7" s="36">
        <f t="shared" si="2"/>
        <v>1.0768906249999999</v>
      </c>
      <c r="H7" s="36">
        <f t="shared" si="2"/>
        <v>1.1038128906249998</v>
      </c>
      <c r="I7" s="36">
        <f t="shared" si="2"/>
        <v>1.1314082128906247</v>
      </c>
      <c r="J7" s="36">
        <f t="shared" si="2"/>
        <v>1.1596934182128902</v>
      </c>
      <c r="K7" s="36">
        <f t="shared" si="2"/>
        <v>1.1886857536682125</v>
      </c>
      <c r="L7" s="36">
        <f t="shared" si="2"/>
        <v>1.2184028975099177</v>
      </c>
      <c r="M7" s="36">
        <f t="shared" si="2"/>
        <v>1.2488629699476654</v>
      </c>
      <c r="N7" s="36">
        <f t="shared" si="2"/>
        <v>1.2800845441963571</v>
      </c>
    </row>
    <row r="8" spans="1:14" x14ac:dyDescent="0.2">
      <c r="A8" t="s">
        <v>117</v>
      </c>
      <c r="B8" s="2" t="s">
        <v>339</v>
      </c>
      <c r="D8" s="36">
        <f t="shared" ref="D8:N8" si="3">(1+Expense_Growth)^(D4-1)</f>
        <v>1</v>
      </c>
      <c r="E8" s="36">
        <f t="shared" si="3"/>
        <v>1.03</v>
      </c>
      <c r="F8" s="36">
        <f t="shared" si="3"/>
        <v>1.0609</v>
      </c>
      <c r="G8" s="36">
        <f t="shared" si="3"/>
        <v>1.092727</v>
      </c>
      <c r="H8" s="36">
        <f t="shared" si="3"/>
        <v>1.1255088099999999</v>
      </c>
      <c r="I8" s="36">
        <f t="shared" si="3"/>
        <v>1.1592740742999998</v>
      </c>
      <c r="J8" s="36">
        <f t="shared" si="3"/>
        <v>1.1940522965289999</v>
      </c>
      <c r="K8" s="36">
        <f t="shared" si="3"/>
        <v>1.22987386542487</v>
      </c>
      <c r="L8" s="36">
        <f t="shared" si="3"/>
        <v>1.2667700813876159</v>
      </c>
      <c r="M8" s="36">
        <f t="shared" si="3"/>
        <v>1.3047731838292445</v>
      </c>
      <c r="N8" s="36">
        <f t="shared" si="3"/>
        <v>1.3439163793441218</v>
      </c>
    </row>
    <row r="9" spans="1:14" x14ac:dyDescent="0.2">
      <c r="A9" t="s">
        <v>118</v>
      </c>
      <c r="B9" s="2" t="s">
        <v>339</v>
      </c>
      <c r="D9" s="36">
        <f t="shared" ref="D9:N9" si="4">(1+Tax_Growth)^(D4-1)</f>
        <v>1</v>
      </c>
      <c r="E9" s="36">
        <f t="shared" si="4"/>
        <v>1.03</v>
      </c>
      <c r="F9" s="36">
        <f t="shared" si="4"/>
        <v>1.0609</v>
      </c>
      <c r="G9" s="36">
        <f t="shared" si="4"/>
        <v>1.092727</v>
      </c>
      <c r="H9" s="36">
        <f t="shared" si="4"/>
        <v>1.1255088099999999</v>
      </c>
      <c r="I9" s="36">
        <f t="shared" si="4"/>
        <v>1.1592740742999998</v>
      </c>
      <c r="J9" s="36">
        <f t="shared" si="4"/>
        <v>1.1940522965289999</v>
      </c>
      <c r="K9" s="36">
        <f t="shared" si="4"/>
        <v>1.22987386542487</v>
      </c>
      <c r="L9" s="36">
        <f t="shared" si="4"/>
        <v>1.2667700813876159</v>
      </c>
      <c r="M9" s="36">
        <f t="shared" si="4"/>
        <v>1.3047731838292445</v>
      </c>
      <c r="N9" s="36">
        <f t="shared" si="4"/>
        <v>1.3439163793441218</v>
      </c>
    </row>
    <row r="10" spans="1:14" x14ac:dyDescent="0.2">
      <c r="A10" t="s">
        <v>341</v>
      </c>
      <c r="B10" s="2" t="s">
        <v>339</v>
      </c>
      <c r="D10" s="36">
        <f t="shared" ref="D10:N10" si="5">(1+Utility_Price_Growth)^(D4-1)</f>
        <v>1</v>
      </c>
      <c r="E10" s="36">
        <f t="shared" si="5"/>
        <v>1.0249999999999999</v>
      </c>
      <c r="F10" s="36">
        <f t="shared" si="5"/>
        <v>1.0506249999999999</v>
      </c>
      <c r="G10" s="36">
        <f t="shared" si="5"/>
        <v>1.0768906249999999</v>
      </c>
      <c r="H10" s="36">
        <f t="shared" si="5"/>
        <v>1.1038128906249998</v>
      </c>
      <c r="I10" s="36">
        <f t="shared" si="5"/>
        <v>1.1314082128906247</v>
      </c>
      <c r="J10" s="36">
        <f t="shared" si="5"/>
        <v>1.1596934182128902</v>
      </c>
      <c r="K10" s="36">
        <f t="shared" si="5"/>
        <v>1.1886857536682125</v>
      </c>
      <c r="L10" s="36">
        <f t="shared" si="5"/>
        <v>1.2184028975099177</v>
      </c>
      <c r="M10" s="36">
        <f t="shared" si="5"/>
        <v>1.2488629699476654</v>
      </c>
      <c r="N10" s="36">
        <f t="shared" si="5"/>
        <v>1.2800845441963571</v>
      </c>
    </row>
    <row r="12" spans="1:14" x14ac:dyDescent="0.2">
      <c r="A12" s="30" t="s">
        <v>342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</row>
    <row r="13" spans="1:14" x14ac:dyDescent="0.2">
      <c r="A13" t="s">
        <v>343</v>
      </c>
      <c r="B13" s="2" t="s">
        <v>44</v>
      </c>
      <c r="D13" s="32">
        <f t="shared" ref="D13:N13" si="6">GPR_Y1*D6</f>
        <v>3981000</v>
      </c>
      <c r="E13" s="32">
        <f t="shared" si="6"/>
        <v>4100430</v>
      </c>
      <c r="F13" s="32">
        <f t="shared" si="6"/>
        <v>4223442.8999999994</v>
      </c>
      <c r="G13" s="32">
        <f t="shared" si="6"/>
        <v>4350146.1869999999</v>
      </c>
      <c r="H13" s="32">
        <f t="shared" si="6"/>
        <v>4480650.5726099992</v>
      </c>
      <c r="I13" s="32">
        <f t="shared" si="6"/>
        <v>4615070.0897882991</v>
      </c>
      <c r="J13" s="32">
        <f t="shared" si="6"/>
        <v>4753522.192481949</v>
      </c>
      <c r="K13" s="32">
        <f t="shared" si="6"/>
        <v>4896127.8582564071</v>
      </c>
      <c r="L13" s="32">
        <f t="shared" si="6"/>
        <v>5043011.6940040989</v>
      </c>
      <c r="M13" s="32">
        <f t="shared" si="6"/>
        <v>5194302.0448242221</v>
      </c>
      <c r="N13" s="32">
        <f t="shared" si="6"/>
        <v>5350131.106168949</v>
      </c>
    </row>
    <row r="14" spans="1:14" x14ac:dyDescent="0.2">
      <c r="A14" t="s">
        <v>106</v>
      </c>
      <c r="B14" s="2" t="s">
        <v>44</v>
      </c>
      <c r="D14" s="32">
        <f t="shared" ref="D14:N14" si="7">-D13*Vacancy_Rate</f>
        <v>-199050</v>
      </c>
      <c r="E14" s="32">
        <f t="shared" si="7"/>
        <v>-205021.5</v>
      </c>
      <c r="F14" s="32">
        <f t="shared" si="7"/>
        <v>-211172.14499999999</v>
      </c>
      <c r="G14" s="32">
        <f t="shared" si="7"/>
        <v>-217507.30935</v>
      </c>
      <c r="H14" s="32">
        <f t="shared" si="7"/>
        <v>-224032.52863049996</v>
      </c>
      <c r="I14" s="32">
        <f t="shared" si="7"/>
        <v>-230753.50448941498</v>
      </c>
      <c r="J14" s="32">
        <f t="shared" si="7"/>
        <v>-237676.10962409747</v>
      </c>
      <c r="K14" s="32">
        <f t="shared" si="7"/>
        <v>-244806.39291282036</v>
      </c>
      <c r="L14" s="32">
        <f t="shared" si="7"/>
        <v>-252150.58470020496</v>
      </c>
      <c r="M14" s="32">
        <f t="shared" si="7"/>
        <v>-259715.10224121111</v>
      </c>
      <c r="N14" s="32">
        <f t="shared" si="7"/>
        <v>-267506.55530844745</v>
      </c>
    </row>
    <row r="15" spans="1:14" x14ac:dyDescent="0.2">
      <c r="A15" t="s">
        <v>340</v>
      </c>
      <c r="B15" s="2" t="s">
        <v>44</v>
      </c>
      <c r="D15" s="32">
        <f t="shared" ref="D15:N15" si="8">Other_Income_Per_Unit*Units*D7</f>
        <v>180000</v>
      </c>
      <c r="E15" s="32">
        <f t="shared" si="8"/>
        <v>184499.99999999997</v>
      </c>
      <c r="F15" s="32">
        <f t="shared" si="8"/>
        <v>189112.5</v>
      </c>
      <c r="G15" s="32">
        <f t="shared" si="8"/>
        <v>193840.31249999997</v>
      </c>
      <c r="H15" s="32">
        <f t="shared" si="8"/>
        <v>198686.32031249997</v>
      </c>
      <c r="I15" s="32">
        <f t="shared" si="8"/>
        <v>203653.47832031242</v>
      </c>
      <c r="J15" s="32">
        <f t="shared" si="8"/>
        <v>208744.81527832022</v>
      </c>
      <c r="K15" s="32">
        <f t="shared" si="8"/>
        <v>213963.43566027825</v>
      </c>
      <c r="L15" s="32">
        <f t="shared" si="8"/>
        <v>219312.52155178518</v>
      </c>
      <c r="M15" s="32">
        <f t="shared" si="8"/>
        <v>224795.33459057979</v>
      </c>
      <c r="N15" s="32">
        <f t="shared" si="8"/>
        <v>230415.21795534427</v>
      </c>
    </row>
    <row r="16" spans="1:14" x14ac:dyDescent="0.2">
      <c r="A16" s="41" t="s">
        <v>344</v>
      </c>
      <c r="B16" s="42" t="s">
        <v>44</v>
      </c>
      <c r="D16" s="43">
        <f t="shared" ref="D16:N16" si="9">D13+D14+D15</f>
        <v>3961950</v>
      </c>
      <c r="E16" s="43">
        <f t="shared" si="9"/>
        <v>4079908.5</v>
      </c>
      <c r="F16" s="43">
        <f t="shared" si="9"/>
        <v>4201383.254999999</v>
      </c>
      <c r="G16" s="43">
        <f t="shared" si="9"/>
        <v>4326479.1901500002</v>
      </c>
      <c r="H16" s="43">
        <f t="shared" si="9"/>
        <v>4455304.3642919995</v>
      </c>
      <c r="I16" s="43">
        <f t="shared" si="9"/>
        <v>4587970.0636191964</v>
      </c>
      <c r="J16" s="43">
        <f t="shared" si="9"/>
        <v>4724590.8981361724</v>
      </c>
      <c r="K16" s="43">
        <f t="shared" si="9"/>
        <v>4865284.9010038655</v>
      </c>
      <c r="L16" s="43">
        <f t="shared" si="9"/>
        <v>5010173.6308556786</v>
      </c>
      <c r="M16" s="43">
        <f t="shared" si="9"/>
        <v>5159382.2771735908</v>
      </c>
      <c r="N16" s="43">
        <f t="shared" si="9"/>
        <v>5313039.7688158462</v>
      </c>
    </row>
    <row r="18" spans="1:14" x14ac:dyDescent="0.2">
      <c r="A18" s="30" t="s">
        <v>345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</row>
    <row r="19" spans="1:14" x14ac:dyDescent="0.2">
      <c r="A19" t="s">
        <v>346</v>
      </c>
      <c r="B19" s="2" t="s">
        <v>44</v>
      </c>
      <c r="D19" s="32">
        <f t="shared" ref="D19:N19" si="10">Assessed_Value_Per_Unit*Units*Tax_Rate*D9</f>
        <v>357000</v>
      </c>
      <c r="E19" s="32">
        <f t="shared" si="10"/>
        <v>367710</v>
      </c>
      <c r="F19" s="32">
        <f t="shared" si="10"/>
        <v>378741.3</v>
      </c>
      <c r="G19" s="32">
        <f t="shared" si="10"/>
        <v>390103.53899999999</v>
      </c>
      <c r="H19" s="32">
        <f t="shared" si="10"/>
        <v>401806.64516999997</v>
      </c>
      <c r="I19" s="32">
        <f t="shared" si="10"/>
        <v>413860.84452509996</v>
      </c>
      <c r="J19" s="32">
        <f t="shared" si="10"/>
        <v>426276.66986085294</v>
      </c>
      <c r="K19" s="32">
        <f t="shared" si="10"/>
        <v>439064.96995667857</v>
      </c>
      <c r="L19" s="32">
        <f t="shared" si="10"/>
        <v>452236.91905537888</v>
      </c>
      <c r="M19" s="32">
        <f t="shared" si="10"/>
        <v>465804.02662704029</v>
      </c>
      <c r="N19" s="32">
        <f t="shared" si="10"/>
        <v>479778.14742585149</v>
      </c>
    </row>
    <row r="20" spans="1:14" x14ac:dyDescent="0.2">
      <c r="A20" t="s">
        <v>125</v>
      </c>
      <c r="B20" s="2" t="s">
        <v>44</v>
      </c>
      <c r="D20" s="32">
        <f t="shared" ref="D20:N20" si="11">Insurance_Per_Unit*Units*D8</f>
        <v>135000</v>
      </c>
      <c r="E20" s="32">
        <f t="shared" si="11"/>
        <v>139050</v>
      </c>
      <c r="F20" s="32">
        <f t="shared" si="11"/>
        <v>143221.5</v>
      </c>
      <c r="G20" s="32">
        <f t="shared" si="11"/>
        <v>147518.14499999999</v>
      </c>
      <c r="H20" s="32">
        <f t="shared" si="11"/>
        <v>151943.68935</v>
      </c>
      <c r="I20" s="32">
        <f t="shared" si="11"/>
        <v>156502.00003049997</v>
      </c>
      <c r="J20" s="32">
        <f t="shared" si="11"/>
        <v>161197.06003141499</v>
      </c>
      <c r="K20" s="32">
        <f t="shared" si="11"/>
        <v>166032.97183235743</v>
      </c>
      <c r="L20" s="32">
        <f t="shared" si="11"/>
        <v>171013.96098732814</v>
      </c>
      <c r="M20" s="32">
        <f t="shared" si="11"/>
        <v>176144.379816948</v>
      </c>
      <c r="N20" s="32">
        <f t="shared" si="11"/>
        <v>181428.71121145645</v>
      </c>
    </row>
    <row r="21" spans="1:14" x14ac:dyDescent="0.2">
      <c r="A21" t="s">
        <v>126</v>
      </c>
      <c r="B21" s="2" t="s">
        <v>44</v>
      </c>
      <c r="D21" s="32">
        <f t="shared" ref="D21:N21" si="12">Water_Sewer_Per_Unit*Units*D8</f>
        <v>112500</v>
      </c>
      <c r="E21" s="32">
        <f t="shared" si="12"/>
        <v>115875</v>
      </c>
      <c r="F21" s="32">
        <f t="shared" si="12"/>
        <v>119351.25</v>
      </c>
      <c r="G21" s="32">
        <f t="shared" si="12"/>
        <v>122931.78750000001</v>
      </c>
      <c r="H21" s="32">
        <f t="shared" si="12"/>
        <v>126619.74112499999</v>
      </c>
      <c r="I21" s="32">
        <f t="shared" si="12"/>
        <v>130418.33335874998</v>
      </c>
      <c r="J21" s="32">
        <f t="shared" si="12"/>
        <v>134330.88335951249</v>
      </c>
      <c r="K21" s="32">
        <f t="shared" si="12"/>
        <v>138360.80986029789</v>
      </c>
      <c r="L21" s="32">
        <f t="shared" si="12"/>
        <v>142511.6341561068</v>
      </c>
      <c r="M21" s="32">
        <f t="shared" si="12"/>
        <v>146786.98318079</v>
      </c>
      <c r="N21" s="32">
        <f t="shared" si="12"/>
        <v>151190.59267621371</v>
      </c>
    </row>
    <row r="22" spans="1:14" x14ac:dyDescent="0.2">
      <c r="A22" t="s">
        <v>127</v>
      </c>
      <c r="B22" s="2" t="s">
        <v>44</v>
      </c>
      <c r="D22" s="32">
        <f t="shared" ref="D22:N22" si="13">Repairs_Per_Unit*Units*D8</f>
        <v>165000</v>
      </c>
      <c r="E22" s="32">
        <f t="shared" si="13"/>
        <v>169950</v>
      </c>
      <c r="F22" s="32">
        <f t="shared" si="13"/>
        <v>175048.5</v>
      </c>
      <c r="G22" s="32">
        <f t="shared" si="13"/>
        <v>180299.95499999999</v>
      </c>
      <c r="H22" s="32">
        <f t="shared" si="13"/>
        <v>185708.95364999998</v>
      </c>
      <c r="I22" s="32">
        <f t="shared" si="13"/>
        <v>191280.22225949998</v>
      </c>
      <c r="J22" s="32">
        <f t="shared" si="13"/>
        <v>197018.628927285</v>
      </c>
      <c r="K22" s="32">
        <f t="shared" si="13"/>
        <v>202929.18779510356</v>
      </c>
      <c r="L22" s="32">
        <f t="shared" si="13"/>
        <v>209017.06342895664</v>
      </c>
      <c r="M22" s="32">
        <f t="shared" si="13"/>
        <v>215287.57533182533</v>
      </c>
      <c r="N22" s="32">
        <f t="shared" si="13"/>
        <v>221746.20259178011</v>
      </c>
    </row>
    <row r="23" spans="1:14" x14ac:dyDescent="0.2">
      <c r="A23" t="s">
        <v>128</v>
      </c>
      <c r="B23" s="2" t="s">
        <v>44</v>
      </c>
      <c r="D23" s="32">
        <f t="shared" ref="D23:N23" si="14">Payroll_Per_Unit*Units*D8</f>
        <v>270000</v>
      </c>
      <c r="E23" s="32">
        <f t="shared" si="14"/>
        <v>278100</v>
      </c>
      <c r="F23" s="32">
        <f t="shared" si="14"/>
        <v>286443</v>
      </c>
      <c r="G23" s="32">
        <f t="shared" si="14"/>
        <v>295036.28999999998</v>
      </c>
      <c r="H23" s="32">
        <f t="shared" si="14"/>
        <v>303887.3787</v>
      </c>
      <c r="I23" s="32">
        <f t="shared" si="14"/>
        <v>313004.00006099994</v>
      </c>
      <c r="J23" s="32">
        <f t="shared" si="14"/>
        <v>322394.12006282998</v>
      </c>
      <c r="K23" s="32">
        <f t="shared" si="14"/>
        <v>332065.94366471487</v>
      </c>
      <c r="L23" s="32">
        <f t="shared" si="14"/>
        <v>342027.92197465629</v>
      </c>
      <c r="M23" s="32">
        <f t="shared" si="14"/>
        <v>352288.759633896</v>
      </c>
      <c r="N23" s="32">
        <f t="shared" si="14"/>
        <v>362857.4224229129</v>
      </c>
    </row>
    <row r="24" spans="1:14" x14ac:dyDescent="0.2">
      <c r="A24" t="s">
        <v>129</v>
      </c>
      <c r="B24" s="2" t="s">
        <v>44</v>
      </c>
      <c r="D24" s="32">
        <f t="shared" ref="D24:N24" si="15">Admin_Per_Unit*Units*D8</f>
        <v>75000</v>
      </c>
      <c r="E24" s="32">
        <f t="shared" si="15"/>
        <v>77250</v>
      </c>
      <c r="F24" s="32">
        <f t="shared" si="15"/>
        <v>79567.5</v>
      </c>
      <c r="G24" s="32">
        <f t="shared" si="15"/>
        <v>81954.524999999994</v>
      </c>
      <c r="H24" s="32">
        <f t="shared" si="15"/>
        <v>84413.160749999995</v>
      </c>
      <c r="I24" s="32">
        <f t="shared" si="15"/>
        <v>86945.555572499987</v>
      </c>
      <c r="J24" s="32">
        <f t="shared" si="15"/>
        <v>89553.922239674997</v>
      </c>
      <c r="K24" s="32">
        <f t="shared" si="15"/>
        <v>92240.539906865248</v>
      </c>
      <c r="L24" s="32">
        <f t="shared" si="15"/>
        <v>95007.756104071188</v>
      </c>
      <c r="M24" s="32">
        <f t="shared" si="15"/>
        <v>97857.988787193332</v>
      </c>
      <c r="N24" s="32">
        <f t="shared" si="15"/>
        <v>100793.72845080914</v>
      </c>
    </row>
    <row r="25" spans="1:14" x14ac:dyDescent="0.2">
      <c r="A25" t="s">
        <v>130</v>
      </c>
      <c r="B25" s="2" t="s">
        <v>44</v>
      </c>
      <c r="D25" s="32">
        <f t="shared" ref="D25:N25" si="16">Mgmt_Fee_Pct*D16</f>
        <v>118858.5</v>
      </c>
      <c r="E25" s="32">
        <f t="shared" si="16"/>
        <v>122397.25499999999</v>
      </c>
      <c r="F25" s="32">
        <f t="shared" si="16"/>
        <v>126041.49764999996</v>
      </c>
      <c r="G25" s="32">
        <f t="shared" si="16"/>
        <v>129794.37570449999</v>
      </c>
      <c r="H25" s="32">
        <f t="shared" si="16"/>
        <v>133659.13092875999</v>
      </c>
      <c r="I25" s="32">
        <f t="shared" si="16"/>
        <v>137639.10190857589</v>
      </c>
      <c r="J25" s="32">
        <f t="shared" si="16"/>
        <v>141737.72694408518</v>
      </c>
      <c r="K25" s="32">
        <f t="shared" si="16"/>
        <v>145958.54703011597</v>
      </c>
      <c r="L25" s="32">
        <f t="shared" si="16"/>
        <v>150305.20892567036</v>
      </c>
      <c r="M25" s="32">
        <f t="shared" si="16"/>
        <v>154781.46831520772</v>
      </c>
      <c r="N25" s="32">
        <f t="shared" si="16"/>
        <v>159391.19306447537</v>
      </c>
    </row>
    <row r="26" spans="1:14" x14ac:dyDescent="0.2">
      <c r="A26" s="41" t="s">
        <v>347</v>
      </c>
      <c r="B26" s="42" t="s">
        <v>44</v>
      </c>
      <c r="D26" s="43">
        <f t="shared" ref="D26:N26" si="17">D19+D20+D21+D22+D23+D24+D25</f>
        <v>1233358.5</v>
      </c>
      <c r="E26" s="43">
        <f t="shared" si="17"/>
        <v>1270332.2549999999</v>
      </c>
      <c r="F26" s="43">
        <f t="shared" si="17"/>
        <v>1308414.5476500001</v>
      </c>
      <c r="G26" s="43">
        <f t="shared" si="17"/>
        <v>1347638.6172044997</v>
      </c>
      <c r="H26" s="43">
        <f t="shared" si="17"/>
        <v>1388038.69967376</v>
      </c>
      <c r="I26" s="43">
        <f t="shared" si="17"/>
        <v>1429650.0577159259</v>
      </c>
      <c r="J26" s="43">
        <f t="shared" si="17"/>
        <v>1472509.0114256556</v>
      </c>
      <c r="K26" s="43">
        <f t="shared" si="17"/>
        <v>1516652.9700461335</v>
      </c>
      <c r="L26" s="43">
        <f t="shared" si="17"/>
        <v>1562120.4646321684</v>
      </c>
      <c r="M26" s="43">
        <f t="shared" si="17"/>
        <v>1608951.1816929006</v>
      </c>
      <c r="N26" s="43">
        <f t="shared" si="17"/>
        <v>1657185.9978434993</v>
      </c>
    </row>
    <row r="28" spans="1:14" x14ac:dyDescent="0.2">
      <c r="A28" s="30" t="s">
        <v>348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</row>
    <row r="29" spans="1:14" x14ac:dyDescent="0.2">
      <c r="A29" t="s">
        <v>349</v>
      </c>
      <c r="B29" s="2" t="s">
        <v>44</v>
      </c>
      <c r="D29" s="32">
        <f t="shared" ref="D29:N29" si="18">Gas_SQ_MMBtu*Gas_Price_MMBtu*D10</f>
        <v>62562.573099415204</v>
      </c>
      <c r="E29" s="32">
        <f t="shared" si="18"/>
        <v>64126.637426900576</v>
      </c>
      <c r="F29" s="32">
        <f t="shared" si="18"/>
        <v>65729.80336257309</v>
      </c>
      <c r="G29" s="32">
        <f t="shared" si="18"/>
        <v>67373.048446637418</v>
      </c>
      <c r="H29" s="32">
        <f t="shared" si="18"/>
        <v>69057.374657803346</v>
      </c>
      <c r="I29" s="32">
        <f t="shared" si="18"/>
        <v>70783.809024248418</v>
      </c>
      <c r="J29" s="32">
        <f t="shared" si="18"/>
        <v>72553.404249854633</v>
      </c>
      <c r="K29" s="32">
        <f t="shared" si="18"/>
        <v>74367.239356100996</v>
      </c>
      <c r="L29" s="32">
        <f t="shared" si="18"/>
        <v>76226.420340003519</v>
      </c>
      <c r="M29" s="32">
        <f t="shared" si="18"/>
        <v>78132.080848503596</v>
      </c>
      <c r="N29" s="32">
        <f t="shared" si="18"/>
        <v>80085.382869716181</v>
      </c>
    </row>
    <row r="30" spans="1:14" x14ac:dyDescent="0.2">
      <c r="A30" t="s">
        <v>350</v>
      </c>
      <c r="B30" s="2" t="s">
        <v>44</v>
      </c>
      <c r="D30" s="32">
        <f t="shared" ref="D30:N30" si="19">Common_kWh*Elec_Price*D10</f>
        <v>53669.219606856001</v>
      </c>
      <c r="E30" s="32">
        <f t="shared" si="19"/>
        <v>55010.950097027395</v>
      </c>
      <c r="F30" s="32">
        <f t="shared" si="19"/>
        <v>56386.223849453083</v>
      </c>
      <c r="G30" s="32">
        <f t="shared" si="19"/>
        <v>57795.879445689403</v>
      </c>
      <c r="H30" s="32">
        <f t="shared" si="19"/>
        <v>59240.776431831633</v>
      </c>
      <c r="I30" s="32">
        <f t="shared" si="19"/>
        <v>60721.79584262742</v>
      </c>
      <c r="J30" s="32">
        <f t="shared" si="19"/>
        <v>62239.840738693099</v>
      </c>
      <c r="K30" s="32">
        <f t="shared" si="19"/>
        <v>63795.836757160432</v>
      </c>
      <c r="L30" s="32">
        <f t="shared" si="19"/>
        <v>65390.732676089436</v>
      </c>
      <c r="M30" s="32">
        <f t="shared" si="19"/>
        <v>67025.500992991656</v>
      </c>
      <c r="N30" s="32">
        <f t="shared" si="19"/>
        <v>68701.138517816449</v>
      </c>
    </row>
    <row r="31" spans="1:14" x14ac:dyDescent="0.2">
      <c r="A31" t="s">
        <v>351</v>
      </c>
      <c r="B31" s="2" t="s">
        <v>44</v>
      </c>
      <c r="D31" s="32">
        <f t="shared" ref="D31:N31" si="20">Gas_RF_MMBtu*Gas_Price_MMBtu*D10</f>
        <v>0</v>
      </c>
      <c r="E31" s="32">
        <f t="shared" si="20"/>
        <v>0</v>
      </c>
      <c r="F31" s="32">
        <f t="shared" si="20"/>
        <v>0</v>
      </c>
      <c r="G31" s="32">
        <f t="shared" si="20"/>
        <v>0</v>
      </c>
      <c r="H31" s="32">
        <f t="shared" si="20"/>
        <v>0</v>
      </c>
      <c r="I31" s="32">
        <f t="shared" si="20"/>
        <v>0</v>
      </c>
      <c r="J31" s="32">
        <f t="shared" si="20"/>
        <v>0</v>
      </c>
      <c r="K31" s="32">
        <f t="shared" si="20"/>
        <v>0</v>
      </c>
      <c r="L31" s="32">
        <f t="shared" si="20"/>
        <v>0</v>
      </c>
      <c r="M31" s="32">
        <f t="shared" si="20"/>
        <v>0</v>
      </c>
      <c r="N31" s="32">
        <f t="shared" si="20"/>
        <v>0</v>
      </c>
    </row>
    <row r="32" spans="1:14" x14ac:dyDescent="0.2">
      <c r="A32" t="s">
        <v>352</v>
      </c>
      <c r="B32" s="2" t="s">
        <v>44</v>
      </c>
      <c r="D32" s="32">
        <f t="shared" ref="D32:N32" si="21">Grid_RF_kWh*Elec_Price*D10</f>
        <v>67922.207500369026</v>
      </c>
      <c r="E32" s="32">
        <f t="shared" si="21"/>
        <v>69620.262687878247</v>
      </c>
      <c r="F32" s="32">
        <f t="shared" si="21"/>
        <v>71360.769255075196</v>
      </c>
      <c r="G32" s="32">
        <f t="shared" si="21"/>
        <v>73144.788486452075</v>
      </c>
      <c r="H32" s="32">
        <f t="shared" si="21"/>
        <v>74973.408198613368</v>
      </c>
      <c r="I32" s="32">
        <f t="shared" si="21"/>
        <v>76847.743403578701</v>
      </c>
      <c r="J32" s="32">
        <f t="shared" si="21"/>
        <v>78768.936988668167</v>
      </c>
      <c r="K32" s="32">
        <f t="shared" si="21"/>
        <v>80738.160413384874</v>
      </c>
      <c r="L32" s="32">
        <f t="shared" si="21"/>
        <v>82756.614423719482</v>
      </c>
      <c r="M32" s="32">
        <f t="shared" si="21"/>
        <v>84825.529784312457</v>
      </c>
      <c r="N32" s="32">
        <f t="shared" si="21"/>
        <v>86946.168028920278</v>
      </c>
    </row>
    <row r="34" spans="1:14" x14ac:dyDescent="0.2">
      <c r="A34" s="30" t="s">
        <v>353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</row>
    <row r="35" spans="1:14" x14ac:dyDescent="0.2">
      <c r="A35" t="s">
        <v>354</v>
      </c>
      <c r="B35" s="2" t="s">
        <v>44</v>
      </c>
      <c r="D35" s="44">
        <f t="shared" ref="D35:N35" si="22">D26+D29+D30</f>
        <v>1349590.2927062712</v>
      </c>
      <c r="E35" s="44">
        <f t="shared" si="22"/>
        <v>1389469.842523928</v>
      </c>
      <c r="F35" s="44">
        <f t="shared" si="22"/>
        <v>1430530.5748620261</v>
      </c>
      <c r="G35" s="44">
        <f t="shared" si="22"/>
        <v>1472807.5450968265</v>
      </c>
      <c r="H35" s="44">
        <f t="shared" si="22"/>
        <v>1516336.850763395</v>
      </c>
      <c r="I35" s="44">
        <f t="shared" si="22"/>
        <v>1561155.6625828019</v>
      </c>
      <c r="J35" s="44">
        <f t="shared" si="22"/>
        <v>1607302.2564142032</v>
      </c>
      <c r="K35" s="44">
        <f t="shared" si="22"/>
        <v>1654816.046159395</v>
      </c>
      <c r="L35" s="44">
        <f t="shared" si="22"/>
        <v>1703737.6176482614</v>
      </c>
      <c r="M35" s="44">
        <f t="shared" si="22"/>
        <v>1754108.763534396</v>
      </c>
      <c r="N35" s="44">
        <f t="shared" si="22"/>
        <v>1805972.5192310321</v>
      </c>
    </row>
    <row r="36" spans="1:14" x14ac:dyDescent="0.2">
      <c r="A36" t="s">
        <v>355</v>
      </c>
      <c r="B36" s="2" t="s">
        <v>44</v>
      </c>
      <c r="D36" s="44">
        <f t="shared" ref="D36:N36" si="23">D26+D31+D32</f>
        <v>1301280.7075003691</v>
      </c>
      <c r="E36" s="44">
        <f t="shared" si="23"/>
        <v>1339952.5176878781</v>
      </c>
      <c r="F36" s="44">
        <f t="shared" si="23"/>
        <v>1379775.3169050752</v>
      </c>
      <c r="G36" s="44">
        <f t="shared" si="23"/>
        <v>1420783.4056909517</v>
      </c>
      <c r="H36" s="44">
        <f t="shared" si="23"/>
        <v>1463012.1078723734</v>
      </c>
      <c r="I36" s="44">
        <f t="shared" si="23"/>
        <v>1506497.8011195045</v>
      </c>
      <c r="J36" s="44">
        <f t="shared" si="23"/>
        <v>1551277.9484143239</v>
      </c>
      <c r="K36" s="44">
        <f t="shared" si="23"/>
        <v>1597391.1304595184</v>
      </c>
      <c r="L36" s="44">
        <f t="shared" si="23"/>
        <v>1644877.0790558879</v>
      </c>
      <c r="M36" s="44">
        <f t="shared" si="23"/>
        <v>1693776.7114772131</v>
      </c>
      <c r="N36" s="44">
        <f t="shared" si="23"/>
        <v>1744132.1658724195</v>
      </c>
    </row>
    <row r="37" spans="1:14" x14ac:dyDescent="0.2">
      <c r="A37" s="41" t="s">
        <v>356</v>
      </c>
      <c r="B37" s="42" t="s">
        <v>44</v>
      </c>
      <c r="D37" s="43">
        <f t="shared" ref="D37:N37" si="24">D16-D35</f>
        <v>2612359.7072937288</v>
      </c>
      <c r="E37" s="43">
        <f t="shared" si="24"/>
        <v>2690438.6574760722</v>
      </c>
      <c r="F37" s="43">
        <f t="shared" si="24"/>
        <v>2770852.6801379728</v>
      </c>
      <c r="G37" s="43">
        <f t="shared" si="24"/>
        <v>2853671.6450531734</v>
      </c>
      <c r="H37" s="43">
        <f t="shared" si="24"/>
        <v>2938967.5135286045</v>
      </c>
      <c r="I37" s="43">
        <f t="shared" si="24"/>
        <v>3026814.4010363948</v>
      </c>
      <c r="J37" s="43">
        <f t="shared" si="24"/>
        <v>3117288.6417219695</v>
      </c>
      <c r="K37" s="43">
        <f t="shared" si="24"/>
        <v>3210468.8548444705</v>
      </c>
      <c r="L37" s="43">
        <f t="shared" si="24"/>
        <v>3306436.013207417</v>
      </c>
      <c r="M37" s="43">
        <f t="shared" si="24"/>
        <v>3405273.5136391949</v>
      </c>
      <c r="N37" s="43">
        <f t="shared" si="24"/>
        <v>3507067.2495848141</v>
      </c>
    </row>
    <row r="38" spans="1:14" x14ac:dyDescent="0.2">
      <c r="A38" s="41" t="s">
        <v>357</v>
      </c>
      <c r="B38" s="42" t="s">
        <v>44</v>
      </c>
      <c r="D38" s="43">
        <f t="shared" ref="D38:N38" si="25">D16-D36</f>
        <v>2660669.2924996307</v>
      </c>
      <c r="E38" s="43">
        <f t="shared" si="25"/>
        <v>2739955.9823121219</v>
      </c>
      <c r="F38" s="43">
        <f t="shared" si="25"/>
        <v>2821607.9380949237</v>
      </c>
      <c r="G38" s="43">
        <f t="shared" si="25"/>
        <v>2905695.7844590484</v>
      </c>
      <c r="H38" s="43">
        <f t="shared" si="25"/>
        <v>2992292.2564196261</v>
      </c>
      <c r="I38" s="43">
        <f t="shared" si="25"/>
        <v>3081472.2624996919</v>
      </c>
      <c r="J38" s="43">
        <f t="shared" si="25"/>
        <v>3173312.9497218486</v>
      </c>
      <c r="K38" s="43">
        <f t="shared" si="25"/>
        <v>3267893.7705443474</v>
      </c>
      <c r="L38" s="43">
        <f t="shared" si="25"/>
        <v>3365296.5517997909</v>
      </c>
      <c r="M38" s="43">
        <f t="shared" si="25"/>
        <v>3465605.5656963778</v>
      </c>
      <c r="N38" s="43">
        <f t="shared" si="25"/>
        <v>3568907.6029434269</v>
      </c>
    </row>
    <row r="39" spans="1:14" x14ac:dyDescent="0.2">
      <c r="A39" t="s">
        <v>132</v>
      </c>
      <c r="B39" s="2" t="s">
        <v>44</v>
      </c>
      <c r="D39" s="32">
        <f t="shared" ref="D39:N39" si="26">Reserve_Per_Unit*Units*D8</f>
        <v>45000</v>
      </c>
      <c r="E39" s="32">
        <f t="shared" si="26"/>
        <v>46350</v>
      </c>
      <c r="F39" s="32">
        <f t="shared" si="26"/>
        <v>47740.5</v>
      </c>
      <c r="G39" s="32">
        <f t="shared" si="26"/>
        <v>49172.715000000004</v>
      </c>
      <c r="H39" s="32">
        <f t="shared" si="26"/>
        <v>50647.896449999993</v>
      </c>
      <c r="I39" s="32">
        <f t="shared" si="26"/>
        <v>52167.333343499995</v>
      </c>
      <c r="J39" s="32">
        <f t="shared" si="26"/>
        <v>53732.353343804993</v>
      </c>
      <c r="K39" s="32">
        <f t="shared" si="26"/>
        <v>55344.323944119147</v>
      </c>
      <c r="L39" s="32">
        <f t="shared" si="26"/>
        <v>57004.653662442717</v>
      </c>
      <c r="M39" s="32">
        <f t="shared" si="26"/>
        <v>58714.793272315997</v>
      </c>
      <c r="N39" s="32">
        <f t="shared" si="26"/>
        <v>60476.237070485477</v>
      </c>
    </row>
    <row r="40" spans="1:14" x14ac:dyDescent="0.2">
      <c r="A40" s="41" t="s">
        <v>358</v>
      </c>
      <c r="B40" s="42" t="s">
        <v>44</v>
      </c>
      <c r="D40" s="43">
        <f t="shared" ref="D40:N40" si="27">D37-D39</f>
        <v>2567359.7072937288</v>
      </c>
      <c r="E40" s="43">
        <f t="shared" si="27"/>
        <v>2644088.6574760722</v>
      </c>
      <c r="F40" s="43">
        <f t="shared" si="27"/>
        <v>2723112.1801379728</v>
      </c>
      <c r="G40" s="43">
        <f t="shared" si="27"/>
        <v>2804498.9300531736</v>
      </c>
      <c r="H40" s="43">
        <f t="shared" si="27"/>
        <v>2888319.6170786046</v>
      </c>
      <c r="I40" s="43">
        <f t="shared" si="27"/>
        <v>2974647.067692895</v>
      </c>
      <c r="J40" s="43">
        <f t="shared" si="27"/>
        <v>3063556.2883781646</v>
      </c>
      <c r="K40" s="43">
        <f t="shared" si="27"/>
        <v>3155124.5309003512</v>
      </c>
      <c r="L40" s="43">
        <f t="shared" si="27"/>
        <v>3249431.3595449743</v>
      </c>
      <c r="M40" s="43">
        <f t="shared" si="27"/>
        <v>3346558.7203668789</v>
      </c>
      <c r="N40" s="43">
        <f t="shared" si="27"/>
        <v>3446591.0125143286</v>
      </c>
    </row>
    <row r="41" spans="1:14" x14ac:dyDescent="0.2">
      <c r="A41" s="41" t="s">
        <v>359</v>
      </c>
      <c r="B41" s="42" t="s">
        <v>44</v>
      </c>
      <c r="D41" s="43">
        <f t="shared" ref="D41:N41" si="28">D38-D39</f>
        <v>2615669.2924996307</v>
      </c>
      <c r="E41" s="43">
        <f t="shared" si="28"/>
        <v>2693605.9823121219</v>
      </c>
      <c r="F41" s="43">
        <f t="shared" si="28"/>
        <v>2773867.4380949237</v>
      </c>
      <c r="G41" s="43">
        <f t="shared" si="28"/>
        <v>2856523.0694590486</v>
      </c>
      <c r="H41" s="43">
        <f t="shared" si="28"/>
        <v>2941644.3599696262</v>
      </c>
      <c r="I41" s="43">
        <f t="shared" si="28"/>
        <v>3029304.9291561921</v>
      </c>
      <c r="J41" s="43">
        <f t="shared" si="28"/>
        <v>3119580.5963780438</v>
      </c>
      <c r="K41" s="43">
        <f t="shared" si="28"/>
        <v>3212549.4466002281</v>
      </c>
      <c r="L41" s="43">
        <f t="shared" si="28"/>
        <v>3308291.8981373482</v>
      </c>
      <c r="M41" s="43">
        <f t="shared" si="28"/>
        <v>3406890.7724240618</v>
      </c>
      <c r="N41" s="43">
        <f t="shared" si="28"/>
        <v>3508431.3658729414</v>
      </c>
    </row>
    <row r="42" spans="1:14" x14ac:dyDescent="0.2">
      <c r="A42" t="s">
        <v>134</v>
      </c>
      <c r="B42" s="2" t="s">
        <v>44</v>
      </c>
      <c r="D42" s="32">
        <f t="shared" ref="D42:N42" si="29">IF(D4=Boiler_Replace_Year,Boiler_Replace_Cost*D8,0)</f>
        <v>0</v>
      </c>
      <c r="E42" s="32">
        <f t="shared" si="29"/>
        <v>0</v>
      </c>
      <c r="F42" s="32">
        <f t="shared" si="29"/>
        <v>477405</v>
      </c>
      <c r="G42" s="32">
        <f t="shared" si="29"/>
        <v>0</v>
      </c>
      <c r="H42" s="32">
        <f t="shared" si="29"/>
        <v>0</v>
      </c>
      <c r="I42" s="32">
        <f t="shared" si="29"/>
        <v>0</v>
      </c>
      <c r="J42" s="32">
        <f t="shared" si="29"/>
        <v>0</v>
      </c>
      <c r="K42" s="32">
        <f t="shared" si="29"/>
        <v>0</v>
      </c>
      <c r="L42" s="32">
        <f t="shared" si="29"/>
        <v>0</v>
      </c>
      <c r="M42" s="32">
        <f t="shared" si="29"/>
        <v>0</v>
      </c>
      <c r="N42" s="32">
        <f t="shared" si="29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9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4" customWidth="1"/>
    <col min="2" max="2" width="14" customWidth="1"/>
    <col min="3" max="3" width="15" customWidth="1"/>
    <col min="4" max="14" width="13" customWidth="1"/>
  </cols>
  <sheetData>
    <row r="1" spans="1:14" ht="18" x14ac:dyDescent="0.2">
      <c r="A1" s="11" t="s">
        <v>28</v>
      </c>
    </row>
    <row r="2" spans="1:14" x14ac:dyDescent="0.2">
      <c r="A2" s="2" t="s">
        <v>360</v>
      </c>
    </row>
    <row r="4" spans="1:14" x14ac:dyDescent="0.2">
      <c r="A4" s="39" t="s">
        <v>336</v>
      </c>
      <c r="B4" s="39" t="s">
        <v>42</v>
      </c>
      <c r="C4" s="40"/>
      <c r="D4" s="40">
        <v>1</v>
      </c>
      <c r="E4" s="40">
        <f t="shared" ref="E4:N4" si="0">D4+1</f>
        <v>2</v>
      </c>
      <c r="F4" s="40">
        <f t="shared" si="0"/>
        <v>3</v>
      </c>
      <c r="G4" s="40">
        <f t="shared" si="0"/>
        <v>4</v>
      </c>
      <c r="H4" s="40">
        <f t="shared" si="0"/>
        <v>5</v>
      </c>
      <c r="I4" s="40">
        <f t="shared" si="0"/>
        <v>6</v>
      </c>
      <c r="J4" s="40">
        <f t="shared" si="0"/>
        <v>7</v>
      </c>
      <c r="K4" s="40">
        <f t="shared" si="0"/>
        <v>8</v>
      </c>
      <c r="L4" s="40">
        <f t="shared" si="0"/>
        <v>9</v>
      </c>
      <c r="M4" s="40">
        <f t="shared" si="0"/>
        <v>10</v>
      </c>
      <c r="N4" s="40">
        <f t="shared" si="0"/>
        <v>11</v>
      </c>
    </row>
    <row r="5" spans="1:14" x14ac:dyDescent="0.2">
      <c r="A5" s="30" t="s">
        <v>361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</row>
    <row r="6" spans="1:14" x14ac:dyDescent="0.2">
      <c r="A6" s="13" t="s">
        <v>362</v>
      </c>
      <c r="B6" s="2" t="s">
        <v>47</v>
      </c>
      <c r="C6" s="18">
        <f>UST_10Y+Fixed_Spread</f>
        <v>6.9099999999999995E-2</v>
      </c>
    </row>
    <row r="7" spans="1:14" x14ac:dyDescent="0.2">
      <c r="A7" s="13" t="s">
        <v>363</v>
      </c>
      <c r="B7" s="2" t="s">
        <v>47</v>
      </c>
      <c r="C7" s="18">
        <f>SOFR+SOFR_Shock+Float_Spread</f>
        <v>6.7799999999999999E-2</v>
      </c>
    </row>
    <row r="8" spans="1:14" x14ac:dyDescent="0.2">
      <c r="A8" s="13" t="s">
        <v>364</v>
      </c>
      <c r="B8" s="2" t="s">
        <v>47</v>
      </c>
      <c r="C8" s="18">
        <f>PMT(D21/Months,Amort_Months,-1)*Months</f>
        <v>7.9112296829692091E-2</v>
      </c>
    </row>
    <row r="9" spans="1:14" x14ac:dyDescent="0.2">
      <c r="A9" s="13" t="s">
        <v>365</v>
      </c>
      <c r="B9" s="2" t="s">
        <v>44</v>
      </c>
      <c r="C9" s="32">
        <f>LTV_Max*Price</f>
        <v>30550000</v>
      </c>
    </row>
    <row r="10" spans="1:14" x14ac:dyDescent="0.2">
      <c r="A10" s="13" t="s">
        <v>366</v>
      </c>
      <c r="B10" s="2" t="s">
        <v>44</v>
      </c>
      <c r="C10" s="32">
        <f>Operating!D40/(DSCR_Sizing*Debt_Constant)</f>
        <v>25961675.341779821</v>
      </c>
    </row>
    <row r="11" spans="1:14" x14ac:dyDescent="0.2">
      <c r="A11" s="13" t="s">
        <v>367</v>
      </c>
      <c r="B11" s="2" t="s">
        <v>44</v>
      </c>
      <c r="C11" s="32">
        <f>Operating!D37/DY_Sizing</f>
        <v>32654496.341171611</v>
      </c>
    </row>
    <row r="12" spans="1:14" x14ac:dyDescent="0.2">
      <c r="A12" s="3" t="s">
        <v>48</v>
      </c>
      <c r="B12" s="2" t="s">
        <v>44</v>
      </c>
      <c r="C12" s="45">
        <f>IF(Loan_Override&gt;0,Loan_Override,MIN(Max_Loan_LTV,Max_Loan_DSCR,Max_Loan_DY))</f>
        <v>25961675.341779821</v>
      </c>
    </row>
    <row r="13" spans="1:14" x14ac:dyDescent="0.2">
      <c r="A13" s="13" t="s">
        <v>368</v>
      </c>
      <c r="B13" s="2"/>
      <c r="C13" s="46" t="str">
        <f>IF(Loan_Override&gt;0,"Override",IF(Loan=Max_Loan_DSCR,"DSCR",IF(Loan=Max_Loan_LTV,"LTV","Debt yield")))</f>
        <v>DSCR</v>
      </c>
    </row>
    <row r="14" spans="1:14" x14ac:dyDescent="0.2">
      <c r="A14" s="13" t="s">
        <v>49</v>
      </c>
      <c r="B14" s="2" t="s">
        <v>47</v>
      </c>
      <c r="C14" s="35">
        <f>Loan/Price</f>
        <v>0.55237607110169828</v>
      </c>
    </row>
    <row r="20" spans="1:14" x14ac:dyDescent="0.2">
      <c r="A20" s="30" t="s">
        <v>369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</row>
    <row r="21" spans="1:14" x14ac:dyDescent="0.2">
      <c r="A21" t="s">
        <v>370</v>
      </c>
      <c r="B21" s="2" t="s">
        <v>47</v>
      </c>
      <c r="D21" s="18">
        <f t="shared" ref="D21:N21" si="1">IF(Debt_Option=1,Rate_Fixed,Rate_Float)</f>
        <v>6.9099999999999995E-2</v>
      </c>
      <c r="E21" s="18">
        <f t="shared" si="1"/>
        <v>6.9099999999999995E-2</v>
      </c>
      <c r="F21" s="18">
        <f t="shared" si="1"/>
        <v>6.9099999999999995E-2</v>
      </c>
      <c r="G21" s="18">
        <f t="shared" si="1"/>
        <v>6.9099999999999995E-2</v>
      </c>
      <c r="H21" s="18">
        <f t="shared" si="1"/>
        <v>6.9099999999999995E-2</v>
      </c>
      <c r="I21" s="18">
        <f t="shared" si="1"/>
        <v>6.9099999999999995E-2</v>
      </c>
      <c r="J21" s="18">
        <f t="shared" si="1"/>
        <v>6.9099999999999995E-2</v>
      </c>
      <c r="K21" s="18">
        <f t="shared" si="1"/>
        <v>6.9099999999999995E-2</v>
      </c>
      <c r="L21" s="18">
        <f t="shared" si="1"/>
        <v>6.9099999999999995E-2</v>
      </c>
      <c r="M21" s="18">
        <f t="shared" si="1"/>
        <v>6.9099999999999995E-2</v>
      </c>
      <c r="N21" s="18">
        <f t="shared" si="1"/>
        <v>6.9099999999999995E-2</v>
      </c>
    </row>
    <row r="22" spans="1:14" x14ac:dyDescent="0.2">
      <c r="A22" t="s">
        <v>371</v>
      </c>
      <c r="B22" s="2" t="s">
        <v>372</v>
      </c>
      <c r="D22" s="47">
        <f t="shared" ref="D22:N22" si="2">IF(D4&lt;=IO_Years,1,0)</f>
        <v>1</v>
      </c>
      <c r="E22" s="47">
        <f t="shared" si="2"/>
        <v>1</v>
      </c>
      <c r="F22" s="47">
        <f t="shared" si="2"/>
        <v>0</v>
      </c>
      <c r="G22" s="47">
        <f t="shared" si="2"/>
        <v>0</v>
      </c>
      <c r="H22" s="47">
        <f t="shared" si="2"/>
        <v>0</v>
      </c>
      <c r="I22" s="47">
        <f t="shared" si="2"/>
        <v>0</v>
      </c>
      <c r="J22" s="47">
        <f t="shared" si="2"/>
        <v>0</v>
      </c>
      <c r="K22" s="47">
        <f t="shared" si="2"/>
        <v>0</v>
      </c>
      <c r="L22" s="47">
        <f t="shared" si="2"/>
        <v>0</v>
      </c>
      <c r="M22" s="47">
        <f t="shared" si="2"/>
        <v>0</v>
      </c>
      <c r="N22" s="47">
        <f t="shared" si="2"/>
        <v>0</v>
      </c>
    </row>
    <row r="23" spans="1:14" x14ac:dyDescent="0.2">
      <c r="A23" t="s">
        <v>373</v>
      </c>
      <c r="B23" s="2" t="s">
        <v>44</v>
      </c>
      <c r="D23" s="32">
        <f>Loan</f>
        <v>25961675.341779821</v>
      </c>
      <c r="E23" s="44">
        <f t="shared" ref="E23:N23" si="3">D26</f>
        <v>25961675.341779821</v>
      </c>
      <c r="F23" s="44">
        <f t="shared" si="3"/>
        <v>25961675.341779821</v>
      </c>
      <c r="G23" s="44">
        <f t="shared" si="3"/>
        <v>25693346.869903732</v>
      </c>
      <c r="H23" s="44">
        <f t="shared" si="3"/>
        <v>25405878.257105205</v>
      </c>
      <c r="I23" s="44">
        <f t="shared" si="3"/>
        <v>25097904.217799861</v>
      </c>
      <c r="J23" s="44">
        <f t="shared" si="3"/>
        <v>24767962.079203587</v>
      </c>
      <c r="K23" s="44">
        <f t="shared" si="3"/>
        <v>24414484.834605217</v>
      </c>
      <c r="L23" s="44">
        <f t="shared" si="3"/>
        <v>24035793.701122135</v>
      </c>
      <c r="M23" s="44">
        <f t="shared" si="3"/>
        <v>23630090.14659306</v>
      </c>
      <c r="N23" s="44">
        <f t="shared" si="3"/>
        <v>23195447.347741056</v>
      </c>
    </row>
    <row r="24" spans="1:14" x14ac:dyDescent="0.2">
      <c r="A24" t="s">
        <v>374</v>
      </c>
      <c r="B24" s="2" t="s">
        <v>44</v>
      </c>
      <c r="D24" s="32">
        <f t="shared" ref="D24:N24" si="4">IF(D22=1,D23*D21/Months,PMT(D21/Months,Amort_Months-Months*(D4-1-IO_Years),-D23))</f>
        <v>149495.98050974877</v>
      </c>
      <c r="E24" s="32">
        <f t="shared" si="4"/>
        <v>149495.98050974877</v>
      </c>
      <c r="F24" s="32">
        <f t="shared" si="4"/>
        <v>171157.31381958193</v>
      </c>
      <c r="G24" s="32">
        <f t="shared" si="4"/>
        <v>171157.31381958196</v>
      </c>
      <c r="H24" s="32">
        <f t="shared" si="4"/>
        <v>171157.31381958199</v>
      </c>
      <c r="I24" s="32">
        <f t="shared" si="4"/>
        <v>171157.31381958199</v>
      </c>
      <c r="J24" s="32">
        <f t="shared" si="4"/>
        <v>171157.31381958202</v>
      </c>
      <c r="K24" s="32">
        <f t="shared" si="4"/>
        <v>171157.31381958205</v>
      </c>
      <c r="L24" s="32">
        <f t="shared" si="4"/>
        <v>171157.31381958208</v>
      </c>
      <c r="M24" s="32">
        <f t="shared" si="4"/>
        <v>171157.31381958208</v>
      </c>
      <c r="N24" s="32">
        <f t="shared" si="4"/>
        <v>171157.31381958208</v>
      </c>
    </row>
    <row r="25" spans="1:14" x14ac:dyDescent="0.2">
      <c r="A25" t="s">
        <v>375</v>
      </c>
      <c r="B25" s="2" t="s">
        <v>44</v>
      </c>
      <c r="D25" s="32">
        <f t="shared" ref="D25:N25" si="5">D24*Months</f>
        <v>1793951.7661169851</v>
      </c>
      <c r="E25" s="32">
        <f t="shared" si="5"/>
        <v>1793951.7661169851</v>
      </c>
      <c r="F25" s="32">
        <f t="shared" si="5"/>
        <v>2053887.7658349832</v>
      </c>
      <c r="G25" s="32">
        <f t="shared" si="5"/>
        <v>2053887.7658349834</v>
      </c>
      <c r="H25" s="32">
        <f t="shared" si="5"/>
        <v>2053887.7658349839</v>
      </c>
      <c r="I25" s="32">
        <f t="shared" si="5"/>
        <v>2053887.7658349839</v>
      </c>
      <c r="J25" s="32">
        <f t="shared" si="5"/>
        <v>2053887.7658349844</v>
      </c>
      <c r="K25" s="32">
        <f t="shared" si="5"/>
        <v>2053887.7658349846</v>
      </c>
      <c r="L25" s="32">
        <f t="shared" si="5"/>
        <v>2053887.7658349848</v>
      </c>
      <c r="M25" s="32">
        <f t="shared" si="5"/>
        <v>2053887.7658349848</v>
      </c>
      <c r="N25" s="32">
        <f t="shared" si="5"/>
        <v>2053887.7658349848</v>
      </c>
    </row>
    <row r="26" spans="1:14" x14ac:dyDescent="0.2">
      <c r="A26" t="s">
        <v>376</v>
      </c>
      <c r="B26" s="2" t="s">
        <v>44</v>
      </c>
      <c r="D26" s="32">
        <f t="shared" ref="D26:N26" si="6">IF(D22=1,D23,FV(D21/Months,Months,D24,-D23))</f>
        <v>25961675.341779821</v>
      </c>
      <c r="E26" s="32">
        <f t="shared" si="6"/>
        <v>25961675.341779821</v>
      </c>
      <c r="F26" s="32">
        <f t="shared" si="6"/>
        <v>25693346.869903732</v>
      </c>
      <c r="G26" s="32">
        <f t="shared" si="6"/>
        <v>25405878.257105205</v>
      </c>
      <c r="H26" s="32">
        <f t="shared" si="6"/>
        <v>25097904.217799861</v>
      </c>
      <c r="I26" s="32">
        <f t="shared" si="6"/>
        <v>24767962.079203587</v>
      </c>
      <c r="J26" s="32">
        <f t="shared" si="6"/>
        <v>24414484.834605217</v>
      </c>
      <c r="K26" s="32">
        <f t="shared" si="6"/>
        <v>24035793.701122135</v>
      </c>
      <c r="L26" s="32">
        <f t="shared" si="6"/>
        <v>23630090.14659306</v>
      </c>
      <c r="M26" s="32">
        <f t="shared" si="6"/>
        <v>23195447.347741056</v>
      </c>
      <c r="N26" s="32">
        <f t="shared" si="6"/>
        <v>22729801.039038662</v>
      </c>
    </row>
    <row r="27" spans="1:14" x14ac:dyDescent="0.2">
      <c r="A27" t="s">
        <v>377</v>
      </c>
      <c r="B27" s="2" t="s">
        <v>44</v>
      </c>
      <c r="D27" s="44">
        <f t="shared" ref="D27:N27" si="7">D23-D26</f>
        <v>0</v>
      </c>
      <c r="E27" s="44">
        <f t="shared" si="7"/>
        <v>0</v>
      </c>
      <c r="F27" s="44">
        <f t="shared" si="7"/>
        <v>268328.47187608853</v>
      </c>
      <c r="G27" s="44">
        <f t="shared" si="7"/>
        <v>287468.61279852688</v>
      </c>
      <c r="H27" s="44">
        <f t="shared" si="7"/>
        <v>307974.03930534422</v>
      </c>
      <c r="I27" s="44">
        <f t="shared" si="7"/>
        <v>329942.13859627396</v>
      </c>
      <c r="J27" s="44">
        <f t="shared" si="7"/>
        <v>353477.24459837005</v>
      </c>
      <c r="K27" s="44">
        <f t="shared" si="7"/>
        <v>378691.13348308206</v>
      </c>
      <c r="L27" s="44">
        <f t="shared" si="7"/>
        <v>405703.55452907458</v>
      </c>
      <c r="M27" s="44">
        <f t="shared" si="7"/>
        <v>434642.79885200411</v>
      </c>
      <c r="N27" s="44">
        <f t="shared" si="7"/>
        <v>465646.30870239437</v>
      </c>
    </row>
    <row r="28" spans="1:14" x14ac:dyDescent="0.2">
      <c r="A28" t="s">
        <v>378</v>
      </c>
      <c r="B28" s="2" t="s">
        <v>44</v>
      </c>
      <c r="D28" s="44">
        <f t="shared" ref="D28:N28" si="8">D25-D27</f>
        <v>1793951.7661169851</v>
      </c>
      <c r="E28" s="44">
        <f t="shared" si="8"/>
        <v>1793951.7661169851</v>
      </c>
      <c r="F28" s="44">
        <f t="shared" si="8"/>
        <v>1785559.2939588947</v>
      </c>
      <c r="G28" s="44">
        <f t="shared" si="8"/>
        <v>1766419.1530364566</v>
      </c>
      <c r="H28" s="44">
        <f t="shared" si="8"/>
        <v>1745913.7265296397</v>
      </c>
      <c r="I28" s="44">
        <f t="shared" si="8"/>
        <v>1723945.6272387099</v>
      </c>
      <c r="J28" s="44">
        <f t="shared" si="8"/>
        <v>1700410.5212366143</v>
      </c>
      <c r="K28" s="44">
        <f t="shared" si="8"/>
        <v>1675196.6323519025</v>
      </c>
      <c r="L28" s="44">
        <f t="shared" si="8"/>
        <v>1648184.2113059103</v>
      </c>
      <c r="M28" s="44">
        <f t="shared" si="8"/>
        <v>1619244.9669829807</v>
      </c>
      <c r="N28" s="44">
        <f t="shared" si="8"/>
        <v>1588241.4571325905</v>
      </c>
    </row>
    <row r="29" spans="1:14" x14ac:dyDescent="0.2">
      <c r="A29" t="s">
        <v>379</v>
      </c>
      <c r="B29" s="2" t="s">
        <v>44</v>
      </c>
      <c r="D29" s="48">
        <f t="shared" ref="D29:N29" si="9">ABS(D25-D28-D27)</f>
        <v>0</v>
      </c>
      <c r="E29" s="48">
        <f t="shared" si="9"/>
        <v>0</v>
      </c>
      <c r="F29" s="48">
        <f t="shared" si="9"/>
        <v>0</v>
      </c>
      <c r="G29" s="48">
        <f t="shared" si="9"/>
        <v>0</v>
      </c>
      <c r="H29" s="48">
        <f t="shared" si="9"/>
        <v>0</v>
      </c>
      <c r="I29" s="48">
        <f t="shared" si="9"/>
        <v>0</v>
      </c>
      <c r="J29" s="48">
        <f t="shared" si="9"/>
        <v>0</v>
      </c>
      <c r="K29" s="48">
        <f t="shared" si="9"/>
        <v>0</v>
      </c>
      <c r="L29" s="48">
        <f t="shared" si="9"/>
        <v>0</v>
      </c>
      <c r="M29" s="48">
        <f t="shared" si="9"/>
        <v>0</v>
      </c>
      <c r="N29" s="48">
        <f t="shared" si="9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37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4" customWidth="1"/>
    <col min="2" max="2" width="14" customWidth="1"/>
    <col min="3" max="3" width="15" customWidth="1"/>
    <col min="4" max="14" width="13" customWidth="1"/>
  </cols>
  <sheetData>
    <row r="1" spans="1:14" ht="18" x14ac:dyDescent="0.2">
      <c r="A1" s="11" t="s">
        <v>380</v>
      </c>
    </row>
    <row r="2" spans="1:14" x14ac:dyDescent="0.2">
      <c r="A2" s="2" t="s">
        <v>381</v>
      </c>
    </row>
    <row r="4" spans="1:14" x14ac:dyDescent="0.2">
      <c r="A4" s="39" t="s">
        <v>336</v>
      </c>
      <c r="B4" s="39" t="s">
        <v>42</v>
      </c>
      <c r="C4" s="40"/>
      <c r="D4" s="40">
        <v>1</v>
      </c>
      <c r="E4" s="40">
        <f t="shared" ref="E4:N4" si="0">D4+1</f>
        <v>2</v>
      </c>
      <c r="F4" s="40">
        <f t="shared" si="0"/>
        <v>3</v>
      </c>
      <c r="G4" s="40">
        <f t="shared" si="0"/>
        <v>4</v>
      </c>
      <c r="H4" s="40">
        <f t="shared" si="0"/>
        <v>5</v>
      </c>
      <c r="I4" s="40">
        <f t="shared" si="0"/>
        <v>6</v>
      </c>
      <c r="J4" s="40">
        <f t="shared" si="0"/>
        <v>7</v>
      </c>
      <c r="K4" s="40">
        <f t="shared" si="0"/>
        <v>8</v>
      </c>
      <c r="L4" s="40">
        <f t="shared" si="0"/>
        <v>9</v>
      </c>
      <c r="M4" s="40">
        <f t="shared" si="0"/>
        <v>10</v>
      </c>
      <c r="N4" s="40">
        <f t="shared" si="0"/>
        <v>11</v>
      </c>
    </row>
    <row r="5" spans="1:14" x14ac:dyDescent="0.2">
      <c r="A5" t="s">
        <v>382</v>
      </c>
      <c r="B5" s="2" t="s">
        <v>372</v>
      </c>
      <c r="D5" s="47">
        <f t="shared" ref="D5:N5" si="1">IF(D4&lt;=Hold_Years,1,0)</f>
        <v>1</v>
      </c>
      <c r="E5" s="47">
        <f t="shared" si="1"/>
        <v>1</v>
      </c>
      <c r="F5" s="47">
        <f t="shared" si="1"/>
        <v>1</v>
      </c>
      <c r="G5" s="47">
        <f t="shared" si="1"/>
        <v>1</v>
      </c>
      <c r="H5" s="47">
        <f t="shared" si="1"/>
        <v>1</v>
      </c>
      <c r="I5" s="47">
        <f t="shared" si="1"/>
        <v>1</v>
      </c>
      <c r="J5" s="47">
        <f t="shared" si="1"/>
        <v>1</v>
      </c>
      <c r="K5" s="47">
        <f t="shared" si="1"/>
        <v>1</v>
      </c>
      <c r="L5" s="47">
        <f t="shared" si="1"/>
        <v>1</v>
      </c>
      <c r="M5" s="47">
        <f t="shared" si="1"/>
        <v>1</v>
      </c>
      <c r="N5" s="47">
        <f t="shared" si="1"/>
        <v>0</v>
      </c>
    </row>
    <row r="7" spans="1:14" x14ac:dyDescent="0.2">
      <c r="A7" s="30" t="s">
        <v>383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</row>
    <row r="8" spans="1:14" x14ac:dyDescent="0.2">
      <c r="A8" t="s">
        <v>384</v>
      </c>
      <c r="B8" s="2" t="s">
        <v>53</v>
      </c>
      <c r="D8" s="49">
        <f>Operating!D40/Debt!D25</f>
        <v>1.4311196966297415</v>
      </c>
      <c r="E8" s="49">
        <f>Operating!E40/Debt!E25</f>
        <v>1.4738906069917428</v>
      </c>
      <c r="F8" s="49">
        <f>Operating!F40/Debt!F25</f>
        <v>1.3258330009239452</v>
      </c>
      <c r="G8" s="49">
        <f>Operating!G40/Debt!G25</f>
        <v>1.3654587055359562</v>
      </c>
      <c r="H8" s="49">
        <f>Operating!H40/Debt!H25</f>
        <v>1.4062694491509338</v>
      </c>
      <c r="I8" s="49">
        <f>Operating!I40/Debt!I25</f>
        <v>1.4483006896355834</v>
      </c>
      <c r="J8" s="49">
        <f>Operating!J40/Debt!J25</f>
        <v>1.4915889462600267</v>
      </c>
      <c r="K8" s="49">
        <f>Operating!K40/Debt!K25</f>
        <v>1.536171831481586</v>
      </c>
      <c r="L8" s="49">
        <f>Operating!L40/Debt!L25</f>
        <v>1.5820880836806361</v>
      </c>
      <c r="M8" s="49">
        <f>Operating!M40/Debt!M25</f>
        <v>1.6293776008770242</v>
      </c>
      <c r="N8" s="49">
        <f>Operating!N40/Debt!N25</f>
        <v>1.6780814754564528</v>
      </c>
    </row>
    <row r="9" spans="1:14" x14ac:dyDescent="0.2">
      <c r="A9" t="s">
        <v>385</v>
      </c>
      <c r="B9" s="2" t="s">
        <v>47</v>
      </c>
      <c r="D9" s="35">
        <f t="shared" ref="D9:N9" si="2">1-DSCR_Trap/D8</f>
        <v>0.16149571358288461</v>
      </c>
      <c r="E9" s="35">
        <f t="shared" si="2"/>
        <v>0.18582831432161862</v>
      </c>
      <c r="F9" s="35">
        <f t="shared" si="2"/>
        <v>9.4908635428636035E-2</v>
      </c>
      <c r="G9" s="35">
        <f t="shared" si="2"/>
        <v>0.12117444845833836</v>
      </c>
      <c r="H9" s="35">
        <f t="shared" si="2"/>
        <v>0.14667846853636302</v>
      </c>
      <c r="I9" s="35">
        <f t="shared" si="2"/>
        <v>0.17144277525550311</v>
      </c>
      <c r="J9" s="35">
        <f t="shared" si="2"/>
        <v>0.19548880875736552</v>
      </c>
      <c r="K9" s="35">
        <f t="shared" si="2"/>
        <v>0.21883738823498644</v>
      </c>
      <c r="L9" s="35">
        <f t="shared" si="2"/>
        <v>0.24150872990063255</v>
      </c>
      <c r="M9" s="35">
        <f t="shared" si="2"/>
        <v>0.26352246443421623</v>
      </c>
      <c r="N9" s="35">
        <f t="shared" si="2"/>
        <v>0.28489765392732824</v>
      </c>
    </row>
    <row r="10" spans="1:14" x14ac:dyDescent="0.2">
      <c r="A10" t="s">
        <v>386</v>
      </c>
      <c r="B10" s="2"/>
      <c r="D10" s="46" t="str">
        <f t="shared" ref="D10:N10" si="3">IF(D8&lt;DSCR_Default,"BREACH",IF(D8&lt;DSCR_Trap,"CASH TRAP","OK"))</f>
        <v>OK</v>
      </c>
      <c r="E10" s="46" t="str">
        <f t="shared" si="3"/>
        <v>OK</v>
      </c>
      <c r="F10" s="46" t="str">
        <f t="shared" si="3"/>
        <v>OK</v>
      </c>
      <c r="G10" s="46" t="str">
        <f t="shared" si="3"/>
        <v>OK</v>
      </c>
      <c r="H10" s="46" t="str">
        <f t="shared" si="3"/>
        <v>OK</v>
      </c>
      <c r="I10" s="46" t="str">
        <f t="shared" si="3"/>
        <v>OK</v>
      </c>
      <c r="J10" s="46" t="str">
        <f t="shared" si="3"/>
        <v>OK</v>
      </c>
      <c r="K10" s="46" t="str">
        <f t="shared" si="3"/>
        <v>OK</v>
      </c>
      <c r="L10" s="46" t="str">
        <f t="shared" si="3"/>
        <v>OK</v>
      </c>
      <c r="M10" s="46" t="str">
        <f t="shared" si="3"/>
        <v>OK</v>
      </c>
      <c r="N10" s="46" t="str">
        <f t="shared" si="3"/>
        <v>OK</v>
      </c>
    </row>
    <row r="11" spans="1:14" x14ac:dyDescent="0.2">
      <c r="A11" t="s">
        <v>387</v>
      </c>
      <c r="B11" s="2" t="s">
        <v>47</v>
      </c>
      <c r="D11" s="18">
        <f>Operating!D37/Debt!D23</f>
        <v>0.10062369523162817</v>
      </c>
      <c r="E11" s="18">
        <f>Operating!E37/Debt!E23</f>
        <v>0.10363116486347784</v>
      </c>
      <c r="F11" s="18">
        <f>Operating!F37/Debt!F23</f>
        <v>0.10672857755365549</v>
      </c>
      <c r="G11" s="18">
        <f>Operating!G37/Debt!G23</f>
        <v>0.11106655974025176</v>
      </c>
      <c r="H11" s="18">
        <f>Operating!H37/Debt!H23</f>
        <v>0.11568061075419309</v>
      </c>
      <c r="I11" s="18">
        <f>Operating!I37/Debt!I23</f>
        <v>0.12060028497876434</v>
      </c>
      <c r="J11" s="18">
        <f>Operating!J37/Debt!J23</f>
        <v>0.12585971472959417</v>
      </c>
      <c r="K11" s="18">
        <f>Operating!K37/Debt!K23</f>
        <v>0.131498529524323</v>
      </c>
      <c r="L11" s="18">
        <f>Operating!L37/Debt!L23</f>
        <v>0.13756300517145198</v>
      </c>
      <c r="M11" s="18">
        <f>Operating!M37/Debt!M23</f>
        <v>0.14410751260422763</v>
      </c>
      <c r="N11" s="18">
        <f>Operating!N37/Debt!N23</f>
        <v>0.15119636181219664</v>
      </c>
    </row>
    <row r="12" spans="1:14" x14ac:dyDescent="0.2">
      <c r="A12" t="s">
        <v>388</v>
      </c>
      <c r="B12" s="2" t="s">
        <v>47</v>
      </c>
      <c r="D12" s="35">
        <f t="shared" ref="D12:N12" si="4">1-DY_Trap/D11</f>
        <v>0.25464872038980835</v>
      </c>
      <c r="E12" s="35">
        <f t="shared" si="4"/>
        <v>0.27627948504869282</v>
      </c>
      <c r="F12" s="35">
        <f t="shared" si="4"/>
        <v>0.29728286725928332</v>
      </c>
      <c r="G12" s="35">
        <f t="shared" si="4"/>
        <v>0.32472924185821195</v>
      </c>
      <c r="H12" s="35">
        <f t="shared" si="4"/>
        <v>0.35166317405286118</v>
      </c>
      <c r="I12" s="35">
        <f t="shared" si="4"/>
        <v>0.37811092226518184</v>
      </c>
      <c r="J12" s="35">
        <f t="shared" si="4"/>
        <v>0.404098442769116</v>
      </c>
      <c r="K12" s="35">
        <f t="shared" si="4"/>
        <v>0.42965141685384844</v>
      </c>
      <c r="L12" s="35">
        <f t="shared" si="4"/>
        <v>0.45479527794174335</v>
      </c>
      <c r="M12" s="35">
        <f t="shared" si="4"/>
        <v>0.47955523869197814</v>
      </c>
      <c r="N12" s="35">
        <f t="shared" si="4"/>
        <v>0.50395631812120811</v>
      </c>
    </row>
    <row r="13" spans="1:14" x14ac:dyDescent="0.2">
      <c r="A13" t="s">
        <v>389</v>
      </c>
      <c r="B13" s="2"/>
      <c r="D13" s="46" t="str">
        <f t="shared" ref="D13:N13" si="5">IF(D11&lt;DY_Default,"BREACH",IF(D11&lt;DY_Trap,"CASH TRAP","OK"))</f>
        <v>OK</v>
      </c>
      <c r="E13" s="46" t="str">
        <f t="shared" si="5"/>
        <v>OK</v>
      </c>
      <c r="F13" s="46" t="str">
        <f t="shared" si="5"/>
        <v>OK</v>
      </c>
      <c r="G13" s="46" t="str">
        <f t="shared" si="5"/>
        <v>OK</v>
      </c>
      <c r="H13" s="46" t="str">
        <f t="shared" si="5"/>
        <v>OK</v>
      </c>
      <c r="I13" s="46" t="str">
        <f t="shared" si="5"/>
        <v>OK</v>
      </c>
      <c r="J13" s="46" t="str">
        <f t="shared" si="5"/>
        <v>OK</v>
      </c>
      <c r="K13" s="46" t="str">
        <f t="shared" si="5"/>
        <v>OK</v>
      </c>
      <c r="L13" s="46" t="str">
        <f t="shared" si="5"/>
        <v>OK</v>
      </c>
      <c r="M13" s="46" t="str">
        <f t="shared" si="5"/>
        <v>OK</v>
      </c>
      <c r="N13" s="46" t="str">
        <f t="shared" si="5"/>
        <v>OK</v>
      </c>
    </row>
    <row r="14" spans="1:14" x14ac:dyDescent="0.2">
      <c r="A14" t="s">
        <v>390</v>
      </c>
      <c r="B14" s="2" t="s">
        <v>53</v>
      </c>
      <c r="D14" s="50">
        <f t="shared" ref="D14:N14" si="6">IF(D5=1,D8,"")</f>
        <v>1.4311196966297415</v>
      </c>
      <c r="E14" s="50">
        <f t="shared" si="6"/>
        <v>1.4738906069917428</v>
      </c>
      <c r="F14" s="50">
        <f t="shared" si="6"/>
        <v>1.3258330009239452</v>
      </c>
      <c r="G14" s="50">
        <f t="shared" si="6"/>
        <v>1.3654587055359562</v>
      </c>
      <c r="H14" s="50">
        <f t="shared" si="6"/>
        <v>1.4062694491509338</v>
      </c>
      <c r="I14" s="50">
        <f t="shared" si="6"/>
        <v>1.4483006896355834</v>
      </c>
      <c r="J14" s="50">
        <f t="shared" si="6"/>
        <v>1.4915889462600267</v>
      </c>
      <c r="K14" s="50">
        <f t="shared" si="6"/>
        <v>1.536171831481586</v>
      </c>
      <c r="L14" s="50">
        <f t="shared" si="6"/>
        <v>1.5820880836806361</v>
      </c>
      <c r="M14" s="50">
        <f t="shared" si="6"/>
        <v>1.6293776008770242</v>
      </c>
      <c r="N14" s="50" t="str">
        <f t="shared" si="6"/>
        <v/>
      </c>
    </row>
    <row r="15" spans="1:14" x14ac:dyDescent="0.2">
      <c r="A15" t="s">
        <v>391</v>
      </c>
      <c r="B15" s="2" t="s">
        <v>47</v>
      </c>
      <c r="D15" s="51">
        <f t="shared" ref="D15:N15" si="7">IF(D5=1,D11,"")</f>
        <v>0.10062369523162817</v>
      </c>
      <c r="E15" s="51">
        <f t="shared" si="7"/>
        <v>0.10363116486347784</v>
      </c>
      <c r="F15" s="51">
        <f t="shared" si="7"/>
        <v>0.10672857755365549</v>
      </c>
      <c r="G15" s="51">
        <f t="shared" si="7"/>
        <v>0.11106655974025176</v>
      </c>
      <c r="H15" s="51">
        <f t="shared" si="7"/>
        <v>0.11568061075419309</v>
      </c>
      <c r="I15" s="51">
        <f t="shared" si="7"/>
        <v>0.12060028497876434</v>
      </c>
      <c r="J15" s="51">
        <f t="shared" si="7"/>
        <v>0.12585971472959417</v>
      </c>
      <c r="K15" s="51">
        <f t="shared" si="7"/>
        <v>0.131498529524323</v>
      </c>
      <c r="L15" s="51">
        <f t="shared" si="7"/>
        <v>0.13756300517145198</v>
      </c>
      <c r="M15" s="51">
        <f t="shared" si="7"/>
        <v>0.14410751260422763</v>
      </c>
      <c r="N15" s="51" t="str">
        <f t="shared" si="7"/>
        <v/>
      </c>
    </row>
    <row r="16" spans="1:14" x14ac:dyDescent="0.2">
      <c r="A16" t="s">
        <v>392</v>
      </c>
      <c r="B16" s="2"/>
      <c r="D16" s="52" t="str">
        <f t="shared" ref="D16:N16" si="8">IF(D5=1,D10,"")</f>
        <v>OK</v>
      </c>
      <c r="E16" s="52" t="str">
        <f t="shared" si="8"/>
        <v>OK</v>
      </c>
      <c r="F16" s="52" t="str">
        <f t="shared" si="8"/>
        <v>OK</v>
      </c>
      <c r="G16" s="52" t="str">
        <f t="shared" si="8"/>
        <v>OK</v>
      </c>
      <c r="H16" s="52" t="str">
        <f t="shared" si="8"/>
        <v>OK</v>
      </c>
      <c r="I16" s="52" t="str">
        <f t="shared" si="8"/>
        <v>OK</v>
      </c>
      <c r="J16" s="52" t="str">
        <f t="shared" si="8"/>
        <v>OK</v>
      </c>
      <c r="K16" s="52" t="str">
        <f t="shared" si="8"/>
        <v>OK</v>
      </c>
      <c r="L16" s="52" t="str">
        <f t="shared" si="8"/>
        <v>OK</v>
      </c>
      <c r="M16" s="52" t="str">
        <f t="shared" si="8"/>
        <v>OK</v>
      </c>
      <c r="N16" s="52" t="str">
        <f t="shared" si="8"/>
        <v/>
      </c>
    </row>
    <row r="17" spans="1:14" x14ac:dyDescent="0.2">
      <c r="A17" t="s">
        <v>393</v>
      </c>
      <c r="B17" s="2"/>
      <c r="D17" s="52" t="str">
        <f t="shared" ref="D17:N17" si="9">IF(D5=1,D13,"")</f>
        <v>OK</v>
      </c>
      <c r="E17" s="52" t="str">
        <f t="shared" si="9"/>
        <v>OK</v>
      </c>
      <c r="F17" s="52" t="str">
        <f t="shared" si="9"/>
        <v>OK</v>
      </c>
      <c r="G17" s="52" t="str">
        <f t="shared" si="9"/>
        <v>OK</v>
      </c>
      <c r="H17" s="52" t="str">
        <f t="shared" si="9"/>
        <v>OK</v>
      </c>
      <c r="I17" s="52" t="str">
        <f t="shared" si="9"/>
        <v>OK</v>
      </c>
      <c r="J17" s="52" t="str">
        <f t="shared" si="9"/>
        <v>OK</v>
      </c>
      <c r="K17" s="52" t="str">
        <f t="shared" si="9"/>
        <v>OK</v>
      </c>
      <c r="L17" s="52" t="str">
        <f t="shared" si="9"/>
        <v>OK</v>
      </c>
      <c r="M17" s="52" t="str">
        <f t="shared" si="9"/>
        <v>OK</v>
      </c>
      <c r="N17" s="52" t="str">
        <f t="shared" si="9"/>
        <v/>
      </c>
    </row>
    <row r="19" spans="1:14" x14ac:dyDescent="0.2">
      <c r="A19" s="30" t="s">
        <v>394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</row>
    <row r="20" spans="1:14" x14ac:dyDescent="0.2">
      <c r="A20" t="s">
        <v>384</v>
      </c>
      <c r="B20" s="2" t="s">
        <v>53</v>
      </c>
      <c r="D20" s="49">
        <f>Operating!D41/Debt!D25</f>
        <v>1.458048840499907</v>
      </c>
      <c r="E20" s="49">
        <f>Operating!E41/Debt!E25</f>
        <v>1.5014929794586627</v>
      </c>
      <c r="F20" s="49">
        <f>Operating!F41/Debt!F25</f>
        <v>1.350544798131772</v>
      </c>
      <c r="G20" s="49">
        <f>Operating!G41/Debt!G25</f>
        <v>1.3907882976739789</v>
      </c>
      <c r="H20" s="49">
        <f>Operating!H41/Debt!H25</f>
        <v>1.4322322810924069</v>
      </c>
      <c r="I20" s="49">
        <f>Operating!I41/Debt!I25</f>
        <v>1.4749125923755935</v>
      </c>
      <c r="J20" s="49">
        <f>Operating!J41/Debt!J25</f>
        <v>1.5188661465685367</v>
      </c>
      <c r="K20" s="49">
        <f>Operating!K41/Debt!K25</f>
        <v>1.5641309617978092</v>
      </c>
      <c r="L20" s="49">
        <f>Operating!L41/Debt!L25</f>
        <v>1.610746192254765</v>
      </c>
      <c r="M20" s="49">
        <f>Operating!M41/Debt!M25</f>
        <v>1.6587521621655061</v>
      </c>
      <c r="N20" s="49">
        <f>Operating!N41/Debt!N25</f>
        <v>1.7081904007771469</v>
      </c>
    </row>
    <row r="21" spans="1:14" x14ac:dyDescent="0.2">
      <c r="A21" t="s">
        <v>385</v>
      </c>
      <c r="B21" s="2" t="s">
        <v>47</v>
      </c>
      <c r="D21" s="35">
        <f t="shared" ref="D21:N21" si="10">1-DSCR_Trap/D20</f>
        <v>0.17698230219190214</v>
      </c>
      <c r="E21" s="35">
        <f t="shared" si="10"/>
        <v>0.20079546397037484</v>
      </c>
      <c r="F21" s="35">
        <f t="shared" si="10"/>
        <v>0.11146968122791834</v>
      </c>
      <c r="G21" s="35">
        <f t="shared" si="10"/>
        <v>0.13717997051964159</v>
      </c>
      <c r="H21" s="35">
        <f t="shared" si="10"/>
        <v>0.16214707918416438</v>
      </c>
      <c r="I21" s="35">
        <f t="shared" si="10"/>
        <v>0.18639246406649823</v>
      </c>
      <c r="J21" s="35">
        <f t="shared" si="10"/>
        <v>0.20993696336502576</v>
      </c>
      <c r="K21" s="35">
        <f t="shared" si="10"/>
        <v>0.23280081444029332</v>
      </c>
      <c r="L21" s="35">
        <f t="shared" si="10"/>
        <v>0.25500367111207733</v>
      </c>
      <c r="M21" s="35">
        <f t="shared" si="10"/>
        <v>0.27656462045939634</v>
      </c>
      <c r="N21" s="35">
        <f t="shared" si="10"/>
        <v>0.29750219913772147</v>
      </c>
    </row>
    <row r="22" spans="1:14" x14ac:dyDescent="0.2">
      <c r="A22" t="s">
        <v>386</v>
      </c>
      <c r="B22" s="2"/>
      <c r="D22" s="46" t="str">
        <f t="shared" ref="D22:N22" si="11">IF(D20&lt;DSCR_Default,"BREACH",IF(D20&lt;DSCR_Trap,"CASH TRAP","OK"))</f>
        <v>OK</v>
      </c>
      <c r="E22" s="46" t="str">
        <f t="shared" si="11"/>
        <v>OK</v>
      </c>
      <c r="F22" s="46" t="str">
        <f t="shared" si="11"/>
        <v>OK</v>
      </c>
      <c r="G22" s="46" t="str">
        <f t="shared" si="11"/>
        <v>OK</v>
      </c>
      <c r="H22" s="46" t="str">
        <f t="shared" si="11"/>
        <v>OK</v>
      </c>
      <c r="I22" s="46" t="str">
        <f t="shared" si="11"/>
        <v>OK</v>
      </c>
      <c r="J22" s="46" t="str">
        <f t="shared" si="11"/>
        <v>OK</v>
      </c>
      <c r="K22" s="46" t="str">
        <f t="shared" si="11"/>
        <v>OK</v>
      </c>
      <c r="L22" s="46" t="str">
        <f t="shared" si="11"/>
        <v>OK</v>
      </c>
      <c r="M22" s="46" t="str">
        <f t="shared" si="11"/>
        <v>OK</v>
      </c>
      <c r="N22" s="46" t="str">
        <f t="shared" si="11"/>
        <v>OK</v>
      </c>
    </row>
    <row r="23" spans="1:14" x14ac:dyDescent="0.2">
      <c r="A23" t="s">
        <v>387</v>
      </c>
      <c r="B23" s="2" t="s">
        <v>47</v>
      </c>
      <c r="D23" s="18">
        <f>Operating!D38/Debt!D23</f>
        <v>0.10248449907305661</v>
      </c>
      <c r="E23" s="18">
        <f>Operating!E38/Debt!E23</f>
        <v>0.10553848880094201</v>
      </c>
      <c r="F23" s="18">
        <f>Operating!F38/Debt!F23</f>
        <v>0.10868358458955625</v>
      </c>
      <c r="G23" s="18">
        <f>Operating!G38/Debt!G23</f>
        <v>0.11309136949622849</v>
      </c>
      <c r="H23" s="18">
        <f>Operating!H38/Debt!H23</f>
        <v>0.11777952433440392</v>
      </c>
      <c r="I23" s="18">
        <f>Operating!I38/Debt!I23</f>
        <v>0.12277807086036528</v>
      </c>
      <c r="J23" s="18">
        <f>Operating!J38/Debt!J23</f>
        <v>0.12812168153254402</v>
      </c>
      <c r="K23" s="18">
        <f>Operating!K38/Debt!K23</f>
        <v>0.13385061338310189</v>
      </c>
      <c r="L23" s="18">
        <f>Operating!L38/Debt!L23</f>
        <v>0.1400118753574873</v>
      </c>
      <c r="M23" s="18">
        <f>Operating!M38/Debt!M23</f>
        <v>0.14666070015801619</v>
      </c>
      <c r="N23" s="18">
        <f>Operating!N38/Debt!N23</f>
        <v>0.15386241745801008</v>
      </c>
    </row>
    <row r="24" spans="1:14" x14ac:dyDescent="0.2">
      <c r="A24" t="s">
        <v>388</v>
      </c>
      <c r="B24" s="2" t="s">
        <v>47</v>
      </c>
      <c r="D24" s="35">
        <f t="shared" ref="D24:N24" si="12">1-DY_Trap/D23</f>
        <v>0.26818201114945339</v>
      </c>
      <c r="E24" s="35">
        <f t="shared" si="12"/>
        <v>0.28935878415448213</v>
      </c>
      <c r="F24" s="35">
        <f t="shared" si="12"/>
        <v>0.30992338646873274</v>
      </c>
      <c r="G24" s="35">
        <f t="shared" si="12"/>
        <v>0.33681942013708488</v>
      </c>
      <c r="H24" s="35">
        <f t="shared" si="12"/>
        <v>0.36321699018704423</v>
      </c>
      <c r="I24" s="35">
        <f t="shared" si="12"/>
        <v>0.38914172967176675</v>
      </c>
      <c r="J24" s="35">
        <f t="shared" si="12"/>
        <v>0.41461898483630699</v>
      </c>
      <c r="K24" s="35">
        <f t="shared" si="12"/>
        <v>0.43967384157338163</v>
      </c>
      <c r="L24" s="35">
        <f t="shared" si="12"/>
        <v>0.46433115185047558</v>
      </c>
      <c r="M24" s="35">
        <f t="shared" si="12"/>
        <v>0.48861556013851715</v>
      </c>
      <c r="N24" s="35">
        <f t="shared" si="12"/>
        <v>0.5125515298726675</v>
      </c>
    </row>
    <row r="25" spans="1:14" x14ac:dyDescent="0.2">
      <c r="A25" t="s">
        <v>389</v>
      </c>
      <c r="B25" s="2"/>
      <c r="D25" s="46" t="str">
        <f t="shared" ref="D25:N25" si="13">IF(D23&lt;DY_Default,"BREACH",IF(D23&lt;DY_Trap,"CASH TRAP","OK"))</f>
        <v>OK</v>
      </c>
      <c r="E25" s="46" t="str">
        <f t="shared" si="13"/>
        <v>OK</v>
      </c>
      <c r="F25" s="46" t="str">
        <f t="shared" si="13"/>
        <v>OK</v>
      </c>
      <c r="G25" s="46" t="str">
        <f t="shared" si="13"/>
        <v>OK</v>
      </c>
      <c r="H25" s="46" t="str">
        <f t="shared" si="13"/>
        <v>OK</v>
      </c>
      <c r="I25" s="46" t="str">
        <f t="shared" si="13"/>
        <v>OK</v>
      </c>
      <c r="J25" s="46" t="str">
        <f t="shared" si="13"/>
        <v>OK</v>
      </c>
      <c r="K25" s="46" t="str">
        <f t="shared" si="13"/>
        <v>OK</v>
      </c>
      <c r="L25" s="46" t="str">
        <f t="shared" si="13"/>
        <v>OK</v>
      </c>
      <c r="M25" s="46" t="str">
        <f t="shared" si="13"/>
        <v>OK</v>
      </c>
      <c r="N25" s="46" t="str">
        <f t="shared" si="13"/>
        <v>OK</v>
      </c>
    </row>
    <row r="26" spans="1:14" x14ac:dyDescent="0.2">
      <c r="A26" t="s">
        <v>390</v>
      </c>
      <c r="B26" s="2" t="s">
        <v>53</v>
      </c>
      <c r="D26" s="50">
        <f t="shared" ref="D26:N26" si="14">IF(D5=1,D20,"")</f>
        <v>1.458048840499907</v>
      </c>
      <c r="E26" s="50">
        <f t="shared" si="14"/>
        <v>1.5014929794586627</v>
      </c>
      <c r="F26" s="50">
        <f t="shared" si="14"/>
        <v>1.350544798131772</v>
      </c>
      <c r="G26" s="50">
        <f t="shared" si="14"/>
        <v>1.3907882976739789</v>
      </c>
      <c r="H26" s="50">
        <f t="shared" si="14"/>
        <v>1.4322322810924069</v>
      </c>
      <c r="I26" s="50">
        <f t="shared" si="14"/>
        <v>1.4749125923755935</v>
      </c>
      <c r="J26" s="50">
        <f t="shared" si="14"/>
        <v>1.5188661465685367</v>
      </c>
      <c r="K26" s="50">
        <f t="shared" si="14"/>
        <v>1.5641309617978092</v>
      </c>
      <c r="L26" s="50">
        <f t="shared" si="14"/>
        <v>1.610746192254765</v>
      </c>
      <c r="M26" s="50">
        <f t="shared" si="14"/>
        <v>1.6587521621655061</v>
      </c>
      <c r="N26" s="50" t="str">
        <f t="shared" si="14"/>
        <v/>
      </c>
    </row>
    <row r="27" spans="1:14" x14ac:dyDescent="0.2">
      <c r="A27" t="s">
        <v>391</v>
      </c>
      <c r="B27" s="2" t="s">
        <v>47</v>
      </c>
      <c r="D27" s="51">
        <f t="shared" ref="D27:N27" si="15">IF(D5=1,D23,"")</f>
        <v>0.10248449907305661</v>
      </c>
      <c r="E27" s="51">
        <f t="shared" si="15"/>
        <v>0.10553848880094201</v>
      </c>
      <c r="F27" s="51">
        <f t="shared" si="15"/>
        <v>0.10868358458955625</v>
      </c>
      <c r="G27" s="51">
        <f t="shared" si="15"/>
        <v>0.11309136949622849</v>
      </c>
      <c r="H27" s="51">
        <f t="shared" si="15"/>
        <v>0.11777952433440392</v>
      </c>
      <c r="I27" s="51">
        <f t="shared" si="15"/>
        <v>0.12277807086036528</v>
      </c>
      <c r="J27" s="51">
        <f t="shared" si="15"/>
        <v>0.12812168153254402</v>
      </c>
      <c r="K27" s="51">
        <f t="shared" si="15"/>
        <v>0.13385061338310189</v>
      </c>
      <c r="L27" s="51">
        <f t="shared" si="15"/>
        <v>0.1400118753574873</v>
      </c>
      <c r="M27" s="51">
        <f t="shared" si="15"/>
        <v>0.14666070015801619</v>
      </c>
      <c r="N27" s="51" t="str">
        <f t="shared" si="15"/>
        <v/>
      </c>
    </row>
    <row r="28" spans="1:14" x14ac:dyDescent="0.2">
      <c r="A28" t="s">
        <v>392</v>
      </c>
      <c r="B28" s="2"/>
      <c r="D28" s="52" t="str">
        <f t="shared" ref="D28:N28" si="16">IF(D5=1,D22,"")</f>
        <v>OK</v>
      </c>
      <c r="E28" s="52" t="str">
        <f t="shared" si="16"/>
        <v>OK</v>
      </c>
      <c r="F28" s="52" t="str">
        <f t="shared" si="16"/>
        <v>OK</v>
      </c>
      <c r="G28" s="52" t="str">
        <f t="shared" si="16"/>
        <v>OK</v>
      </c>
      <c r="H28" s="52" t="str">
        <f t="shared" si="16"/>
        <v>OK</v>
      </c>
      <c r="I28" s="52" t="str">
        <f t="shared" si="16"/>
        <v>OK</v>
      </c>
      <c r="J28" s="52" t="str">
        <f t="shared" si="16"/>
        <v>OK</v>
      </c>
      <c r="K28" s="52" t="str">
        <f t="shared" si="16"/>
        <v>OK</v>
      </c>
      <c r="L28" s="52" t="str">
        <f t="shared" si="16"/>
        <v>OK</v>
      </c>
      <c r="M28" s="52" t="str">
        <f t="shared" si="16"/>
        <v>OK</v>
      </c>
      <c r="N28" s="52" t="str">
        <f t="shared" si="16"/>
        <v/>
      </c>
    </row>
    <row r="29" spans="1:14" x14ac:dyDescent="0.2">
      <c r="A29" t="s">
        <v>393</v>
      </c>
      <c r="B29" s="2"/>
      <c r="D29" s="52" t="str">
        <f t="shared" ref="D29:N29" si="17">IF(D5=1,D25,"")</f>
        <v>OK</v>
      </c>
      <c r="E29" s="52" t="str">
        <f t="shared" si="17"/>
        <v>OK</v>
      </c>
      <c r="F29" s="52" t="str">
        <f t="shared" si="17"/>
        <v>OK</v>
      </c>
      <c r="G29" s="52" t="str">
        <f t="shared" si="17"/>
        <v>OK</v>
      </c>
      <c r="H29" s="52" t="str">
        <f t="shared" si="17"/>
        <v>OK</v>
      </c>
      <c r="I29" s="52" t="str">
        <f t="shared" si="17"/>
        <v>OK</v>
      </c>
      <c r="J29" s="52" t="str">
        <f t="shared" si="17"/>
        <v>OK</v>
      </c>
      <c r="K29" s="52" t="str">
        <f t="shared" si="17"/>
        <v>OK</v>
      </c>
      <c r="L29" s="52" t="str">
        <f t="shared" si="17"/>
        <v>OK</v>
      </c>
      <c r="M29" s="52" t="str">
        <f t="shared" si="17"/>
        <v>OK</v>
      </c>
      <c r="N29" s="52" t="str">
        <f t="shared" si="17"/>
        <v/>
      </c>
    </row>
    <row r="31" spans="1:14" x14ac:dyDescent="0.2">
      <c r="A31" s="30" t="s">
        <v>395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</row>
    <row r="32" spans="1:14" x14ac:dyDescent="0.2">
      <c r="A32" s="13" t="s">
        <v>396</v>
      </c>
      <c r="B32" s="2" t="s">
        <v>53</v>
      </c>
      <c r="C32" s="50">
        <f>MIN(D14:N14)</f>
        <v>1.3258330009239452</v>
      </c>
    </row>
    <row r="33" spans="1:3" x14ac:dyDescent="0.2">
      <c r="A33" s="13" t="s">
        <v>397</v>
      </c>
      <c r="B33" s="2" t="s">
        <v>47</v>
      </c>
      <c r="C33" s="51">
        <f>MIN(D15:N15)</f>
        <v>0.10062369523162817</v>
      </c>
    </row>
    <row r="34" spans="1:3" x14ac:dyDescent="0.2">
      <c r="A34" s="13" t="s">
        <v>398</v>
      </c>
      <c r="B34" s="2" t="s">
        <v>399</v>
      </c>
      <c r="C34" s="53">
        <f>COUNTIF(D16:N16,"&lt;&gt;OK")-COUNTIF(D16:N16,"")+COUNTIF(D17:N17,"&lt;&gt;OK")-COUNTIF(D17:N17,"")</f>
        <v>0</v>
      </c>
    </row>
    <row r="35" spans="1:3" x14ac:dyDescent="0.2">
      <c r="A35" s="13" t="s">
        <v>400</v>
      </c>
      <c r="B35" s="2" t="s">
        <v>53</v>
      </c>
      <c r="C35" s="50">
        <f>MIN(D26:N26)</f>
        <v>1.350544798131772</v>
      </c>
    </row>
    <row r="36" spans="1:3" x14ac:dyDescent="0.2">
      <c r="A36" s="13" t="s">
        <v>401</v>
      </c>
      <c r="B36" s="2" t="s">
        <v>47</v>
      </c>
      <c r="C36" s="51">
        <f>MIN(D27:N27)</f>
        <v>0.10248449907305661</v>
      </c>
    </row>
    <row r="37" spans="1:3" x14ac:dyDescent="0.2">
      <c r="A37" s="13" t="s">
        <v>402</v>
      </c>
      <c r="B37" s="2" t="s">
        <v>399</v>
      </c>
      <c r="C37" s="53">
        <f>COUNTIF(D28:N28,"&lt;&gt;OK")-COUNTIF(D28:N28,"")+COUNTIF(D29:N29,"&lt;&gt;OK")-COUNTIF(D29:N29,"")</f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9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4" customWidth="1"/>
    <col min="2" max="2" width="14" customWidth="1"/>
    <col min="3" max="3" width="15" customWidth="1"/>
    <col min="4" max="14" width="13" customWidth="1"/>
  </cols>
  <sheetData>
    <row r="1" spans="1:14" ht="18" x14ac:dyDescent="0.2">
      <c r="A1" s="11" t="s">
        <v>32</v>
      </c>
    </row>
    <row r="2" spans="1:14" x14ac:dyDescent="0.2">
      <c r="A2" s="2" t="s">
        <v>403</v>
      </c>
    </row>
    <row r="4" spans="1:14" x14ac:dyDescent="0.2">
      <c r="A4" s="39" t="s">
        <v>336</v>
      </c>
      <c r="B4" s="39" t="s">
        <v>42</v>
      </c>
      <c r="C4" s="40">
        <v>0</v>
      </c>
      <c r="D4" s="40">
        <v>1</v>
      </c>
      <c r="E4" s="40">
        <f t="shared" ref="E4:N4" si="0">D4+1</f>
        <v>2</v>
      </c>
      <c r="F4" s="40">
        <f t="shared" si="0"/>
        <v>3</v>
      </c>
      <c r="G4" s="40">
        <f t="shared" si="0"/>
        <v>4</v>
      </c>
      <c r="H4" s="40">
        <f t="shared" si="0"/>
        <v>5</v>
      </c>
      <c r="I4" s="40">
        <f t="shared" si="0"/>
        <v>6</v>
      </c>
      <c r="J4" s="40">
        <f t="shared" si="0"/>
        <v>7</v>
      </c>
      <c r="K4" s="40">
        <f t="shared" si="0"/>
        <v>8</v>
      </c>
      <c r="L4" s="40">
        <f t="shared" si="0"/>
        <v>9</v>
      </c>
      <c r="M4" s="40">
        <f t="shared" si="0"/>
        <v>10</v>
      </c>
      <c r="N4" s="40">
        <f t="shared" si="0"/>
        <v>11</v>
      </c>
    </row>
    <row r="5" spans="1:14" x14ac:dyDescent="0.2">
      <c r="A5" t="s">
        <v>382</v>
      </c>
      <c r="B5" s="2" t="s">
        <v>372</v>
      </c>
      <c r="D5" s="47">
        <f t="shared" ref="D5:N5" si="1">IF(D4&lt;=Hold_Years,1,0)</f>
        <v>1</v>
      </c>
      <c r="E5" s="47">
        <f t="shared" si="1"/>
        <v>1</v>
      </c>
      <c r="F5" s="47">
        <f t="shared" si="1"/>
        <v>1</v>
      </c>
      <c r="G5" s="47">
        <f t="shared" si="1"/>
        <v>1</v>
      </c>
      <c r="H5" s="47">
        <f t="shared" si="1"/>
        <v>1</v>
      </c>
      <c r="I5" s="47">
        <f t="shared" si="1"/>
        <v>1</v>
      </c>
      <c r="J5" s="47">
        <f t="shared" si="1"/>
        <v>1</v>
      </c>
      <c r="K5" s="47">
        <f t="shared" si="1"/>
        <v>1</v>
      </c>
      <c r="L5" s="47">
        <f t="shared" si="1"/>
        <v>1</v>
      </c>
      <c r="M5" s="47">
        <f t="shared" si="1"/>
        <v>1</v>
      </c>
      <c r="N5" s="47">
        <f t="shared" si="1"/>
        <v>0</v>
      </c>
    </row>
    <row r="6" spans="1:14" x14ac:dyDescent="0.2">
      <c r="A6" t="s">
        <v>404</v>
      </c>
      <c r="B6" s="2" t="s">
        <v>372</v>
      </c>
      <c r="D6" s="47">
        <f t="shared" ref="D6:N6" si="2">IF(D4=Hold_Years,1,0)</f>
        <v>0</v>
      </c>
      <c r="E6" s="47">
        <f t="shared" si="2"/>
        <v>0</v>
      </c>
      <c r="F6" s="47">
        <f t="shared" si="2"/>
        <v>0</v>
      </c>
      <c r="G6" s="47">
        <f t="shared" si="2"/>
        <v>0</v>
      </c>
      <c r="H6" s="47">
        <f t="shared" si="2"/>
        <v>0</v>
      </c>
      <c r="I6" s="47">
        <f t="shared" si="2"/>
        <v>0</v>
      </c>
      <c r="J6" s="47">
        <f t="shared" si="2"/>
        <v>0</v>
      </c>
      <c r="K6" s="47">
        <f t="shared" si="2"/>
        <v>0</v>
      </c>
      <c r="L6" s="47">
        <f t="shared" si="2"/>
        <v>0</v>
      </c>
      <c r="M6" s="47">
        <f t="shared" si="2"/>
        <v>1</v>
      </c>
      <c r="N6" s="47">
        <f t="shared" si="2"/>
        <v>0</v>
      </c>
    </row>
    <row r="8" spans="1:14" x14ac:dyDescent="0.2">
      <c r="A8" t="s">
        <v>405</v>
      </c>
      <c r="B8" s="2" t="s">
        <v>44</v>
      </c>
      <c r="C8" s="5">
        <f>-(Price+Closing_Costs)</f>
        <v>-47940000</v>
      </c>
      <c r="D8" s="32">
        <f>D5*(Operating!D40-Operating!D42)+D6*Net_Sale_SQ</f>
        <v>2567359.7072937288</v>
      </c>
      <c r="E8" s="32">
        <f>E5*(Operating!E40-Operating!E42)+E6*Net_Sale_SQ</f>
        <v>2644088.6574760722</v>
      </c>
      <c r="F8" s="32">
        <f>F5*(Operating!F40-Operating!F42)+F6*Net_Sale_SQ</f>
        <v>2245707.1801379728</v>
      </c>
      <c r="G8" s="32">
        <f>G5*(Operating!G40-Operating!G42)+G6*Net_Sale_SQ</f>
        <v>2804498.9300531736</v>
      </c>
      <c r="H8" s="32">
        <f>H5*(Operating!H40-Operating!H42)+H6*Net_Sale_SQ</f>
        <v>2888319.6170786046</v>
      </c>
      <c r="I8" s="32">
        <f>I5*(Operating!I40-Operating!I42)+I6*Net_Sale_SQ</f>
        <v>2974647.067692895</v>
      </c>
      <c r="J8" s="32">
        <f>J5*(Operating!J40-Operating!J42)+J6*Net_Sale_SQ</f>
        <v>3063556.2883781646</v>
      </c>
      <c r="K8" s="32">
        <f>K5*(Operating!K40-Operating!K42)+K6*Net_Sale_SQ</f>
        <v>3155124.5309003512</v>
      </c>
      <c r="L8" s="32">
        <f>L5*(Operating!L40-Operating!L42)+L6*Net_Sale_SQ</f>
        <v>3249431.3595449743</v>
      </c>
      <c r="M8" s="32">
        <f>M5*(Operating!M40-Operating!M42)+M6*Net_Sale_SQ</f>
        <v>63119183.148073271</v>
      </c>
      <c r="N8" s="32">
        <f>N5*(Operating!N40-Operating!N42)+N6*Net_Sale_SQ</f>
        <v>0</v>
      </c>
    </row>
    <row r="9" spans="1:14" x14ac:dyDescent="0.2">
      <c r="A9" t="s">
        <v>406</v>
      </c>
      <c r="B9" s="2" t="s">
        <v>44</v>
      </c>
      <c r="C9" s="5">
        <f>-(Price+Closing_Costs+Retrofit_Net)</f>
        <v>-49934280</v>
      </c>
      <c r="D9" s="32">
        <f>D5*Operating!D41+D6*Net_Sale_RF</f>
        <v>2615669.2924996307</v>
      </c>
      <c r="E9" s="32">
        <f>E5*Operating!E41+E6*Net_Sale_RF</f>
        <v>2693605.9823121219</v>
      </c>
      <c r="F9" s="32">
        <f>F5*Operating!F41+F6*Net_Sale_RF</f>
        <v>2773867.4380949237</v>
      </c>
      <c r="G9" s="32">
        <f>G5*Operating!G41+G6*Net_Sale_RF</f>
        <v>2856523.0694590486</v>
      </c>
      <c r="H9" s="32">
        <f>H5*Operating!H41+H6*Net_Sale_RF</f>
        <v>2941644.3599696262</v>
      </c>
      <c r="I9" s="32">
        <f>I5*Operating!I41+I6*Net_Sale_RF</f>
        <v>3029304.9291561921</v>
      </c>
      <c r="J9" s="32">
        <f>J5*Operating!J41+J6*Net_Sale_RF</f>
        <v>3119580.5963780438</v>
      </c>
      <c r="K9" s="32">
        <f>K5*Operating!K41+K6*Net_Sale_RF</f>
        <v>3212549.4466002281</v>
      </c>
      <c r="L9" s="32">
        <f>L5*Operating!L41+L6*Net_Sale_RF</f>
        <v>3308291.8981373482</v>
      </c>
      <c r="M9" s="32">
        <f>M5*Operating!M41+M6*Net_Sale_RF</f>
        <v>64233489.918242469</v>
      </c>
      <c r="N9" s="32">
        <f>N5*Operating!N41+N6*Net_Sale_RF</f>
        <v>0</v>
      </c>
    </row>
    <row r="10" spans="1:14" x14ac:dyDescent="0.2">
      <c r="A10" t="s">
        <v>407</v>
      </c>
      <c r="B10" s="2" t="s">
        <v>44</v>
      </c>
      <c r="C10" s="5">
        <f>C8+Loan-Loan_Fees</f>
        <v>-22237941.411637977</v>
      </c>
      <c r="D10" s="32">
        <f>D8-D5*Debt!D25-D6*Debt!D26</f>
        <v>773407.94117674371</v>
      </c>
      <c r="E10" s="32">
        <f>E8-E5*Debt!E25-E6*Debt!E26</f>
        <v>850136.89135908708</v>
      </c>
      <c r="F10" s="32">
        <f>F8-F5*Debt!F25-F6*Debt!F26</f>
        <v>191819.41430298961</v>
      </c>
      <c r="G10" s="32">
        <f>G8-G5*Debt!G25-G6*Debt!G26</f>
        <v>750611.16421819013</v>
      </c>
      <c r="H10" s="32">
        <f>H8-H5*Debt!H25-H6*Debt!H26</f>
        <v>834431.85124362074</v>
      </c>
      <c r="I10" s="32">
        <f>I8-I5*Debt!I25-I6*Debt!I26</f>
        <v>920759.30185791105</v>
      </c>
      <c r="J10" s="32">
        <f>J8-J5*Debt!J25-J6*Debt!J26</f>
        <v>1009668.5225431803</v>
      </c>
      <c r="K10" s="32">
        <f>K8-K5*Debt!K25-K6*Debt!K26</f>
        <v>1101236.7650653666</v>
      </c>
      <c r="L10" s="32">
        <f>L8-L5*Debt!L25-L6*Debt!L26</f>
        <v>1195543.5937099895</v>
      </c>
      <c r="M10" s="32">
        <f>M8-M5*Debt!M25-M6*Debt!M26</f>
        <v>37869848.034497231</v>
      </c>
      <c r="N10" s="32">
        <f>N8-N5*Debt!N25-N6*Debt!N26</f>
        <v>0</v>
      </c>
    </row>
    <row r="11" spans="1:14" x14ac:dyDescent="0.2">
      <c r="A11" t="s">
        <v>408</v>
      </c>
      <c r="B11" s="2" t="s">
        <v>44</v>
      </c>
      <c r="C11" s="5">
        <f>C9+Loan-Loan_Fees</f>
        <v>-24232221.411637977</v>
      </c>
      <c r="D11" s="32">
        <f>D9-D5*Debt!D25-D6*Debt!D26</f>
        <v>821717.52638264559</v>
      </c>
      <c r="E11" s="32">
        <f>E9-E5*Debt!E25-E6*Debt!E26</f>
        <v>899654.21619513677</v>
      </c>
      <c r="F11" s="32">
        <f>F9-F5*Debt!F25-F6*Debt!F26</f>
        <v>719979.67225994053</v>
      </c>
      <c r="G11" s="32">
        <f>G9-G5*Debt!G25-G6*Debt!G26</f>
        <v>802635.30362406513</v>
      </c>
      <c r="H11" s="32">
        <f>H9-H5*Debt!H25-H6*Debt!H26</f>
        <v>887756.59413464228</v>
      </c>
      <c r="I11" s="32">
        <f>I9-I5*Debt!I25-I6*Debt!I26</f>
        <v>975417.16332120821</v>
      </c>
      <c r="J11" s="32">
        <f>J9-J5*Debt!J25-J6*Debt!J26</f>
        <v>1065692.8305430594</v>
      </c>
      <c r="K11" s="32">
        <f>K9-K5*Debt!K25-K6*Debt!K26</f>
        <v>1158661.6807652435</v>
      </c>
      <c r="L11" s="32">
        <f>L9-L5*Debt!L25-L6*Debt!L26</f>
        <v>1254404.1323023634</v>
      </c>
      <c r="M11" s="32">
        <f>M9-M5*Debt!M25-M6*Debt!M26</f>
        <v>38984154.80466643</v>
      </c>
      <c r="N11" s="32">
        <f>N9-N5*Debt!N25-N6*Debt!N26</f>
        <v>0</v>
      </c>
    </row>
    <row r="13" spans="1:14" x14ac:dyDescent="0.2">
      <c r="A13" s="30" t="s">
        <v>409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</row>
    <row r="14" spans="1:14" x14ac:dyDescent="0.2">
      <c r="A14" s="13" t="s">
        <v>410</v>
      </c>
      <c r="B14" s="2" t="s">
        <v>44</v>
      </c>
      <c r="C14" s="32">
        <f>Closing_Cost_Pct*Price</f>
        <v>940000</v>
      </c>
    </row>
    <row r="15" spans="1:14" x14ac:dyDescent="0.2">
      <c r="A15" s="13" t="s">
        <v>230</v>
      </c>
      <c r="B15" s="2" t="s">
        <v>44</v>
      </c>
      <c r="C15" s="32">
        <f>Loan_Fee_Pct*Loan</f>
        <v>259616.7534177982</v>
      </c>
    </row>
    <row r="16" spans="1:14" x14ac:dyDescent="0.2">
      <c r="A16" s="13" t="s">
        <v>411</v>
      </c>
      <c r="B16" s="2" t="s">
        <v>44</v>
      </c>
      <c r="C16" s="32">
        <f>Price+Closing_Costs+Loan_Fees</f>
        <v>48199616.753417797</v>
      </c>
    </row>
    <row r="17" spans="1:14" x14ac:dyDescent="0.2">
      <c r="A17" s="13" t="s">
        <v>412</v>
      </c>
      <c r="B17" s="2" t="s">
        <v>44</v>
      </c>
      <c r="C17" s="32">
        <f>Uses_SQ+Retrofit_Net</f>
        <v>50193896.753417797</v>
      </c>
    </row>
    <row r="18" spans="1:14" x14ac:dyDescent="0.2">
      <c r="A18" s="13" t="s">
        <v>413</v>
      </c>
      <c r="B18" s="2" t="s">
        <v>44</v>
      </c>
      <c r="C18" s="32">
        <f>Uses_SQ-Loan</f>
        <v>22237941.411637977</v>
      </c>
    </row>
    <row r="19" spans="1:14" x14ac:dyDescent="0.2">
      <c r="A19" s="13" t="s">
        <v>414</v>
      </c>
      <c r="B19" s="2" t="s">
        <v>44</v>
      </c>
      <c r="C19" s="32">
        <f>Uses_RF-Loan</f>
        <v>24232221.411637977</v>
      </c>
    </row>
    <row r="21" spans="1:14" x14ac:dyDescent="0.2">
      <c r="A21" s="30" t="s">
        <v>415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</row>
    <row r="22" spans="1:14" x14ac:dyDescent="0.2">
      <c r="A22" s="13" t="s">
        <v>416</v>
      </c>
      <c r="B22" s="2" t="s">
        <v>44</v>
      </c>
      <c r="C22" s="32">
        <f>INDEX(Operating!D37:N37,1,Hold_Years+1)</f>
        <v>3507067.2495848141</v>
      </c>
    </row>
    <row r="23" spans="1:14" x14ac:dyDescent="0.2">
      <c r="A23" s="13" t="s">
        <v>417</v>
      </c>
      <c r="B23" s="2" t="s">
        <v>44</v>
      </c>
      <c r="C23" s="32">
        <f>NOI_Fwd_SQ/Exit_Cap</f>
        <v>60992473.905822851</v>
      </c>
    </row>
    <row r="24" spans="1:14" x14ac:dyDescent="0.2">
      <c r="A24" s="13" t="s">
        <v>418</v>
      </c>
      <c r="B24" s="2" t="s">
        <v>44</v>
      </c>
      <c r="C24" s="32">
        <f>Exit_Value_SQ*(1-Sale_Cost_Pct)</f>
        <v>59772624.427706391</v>
      </c>
    </row>
    <row r="25" spans="1:14" x14ac:dyDescent="0.2">
      <c r="A25" s="13" t="s">
        <v>419</v>
      </c>
      <c r="B25" s="2" t="s">
        <v>44</v>
      </c>
      <c r="C25" s="32">
        <f>INDEX(Operating!D38:N38,1,Hold_Years+1)</f>
        <v>3568907.6029434269</v>
      </c>
    </row>
    <row r="26" spans="1:14" x14ac:dyDescent="0.2">
      <c r="A26" s="13" t="s">
        <v>420</v>
      </c>
      <c r="B26" s="2" t="s">
        <v>44</v>
      </c>
      <c r="C26" s="32">
        <f>NOI_Fwd_RF/Exit_Cap</f>
        <v>62067958.312059596</v>
      </c>
    </row>
    <row r="27" spans="1:14" x14ac:dyDescent="0.2">
      <c r="A27" s="13" t="s">
        <v>421</v>
      </c>
      <c r="B27" s="2" t="s">
        <v>44</v>
      </c>
      <c r="C27" s="32">
        <f>Exit_Value_RF*(1-Sale_Cost_Pct)</f>
        <v>60826599.145818405</v>
      </c>
    </row>
    <row r="29" spans="1:14" x14ac:dyDescent="0.2">
      <c r="A29" s="30" t="s">
        <v>32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</row>
    <row r="30" spans="1:14" x14ac:dyDescent="0.2">
      <c r="A30" s="3" t="s">
        <v>422</v>
      </c>
      <c r="B30" s="2" t="s">
        <v>47</v>
      </c>
      <c r="C30" s="54">
        <f>IFERROR(IRR(C8:N8),"n/m")</f>
        <v>7.6436280742278706E-2</v>
      </c>
    </row>
    <row r="31" spans="1:14" x14ac:dyDescent="0.2">
      <c r="A31" s="3" t="s">
        <v>423</v>
      </c>
      <c r="B31" s="2" t="s">
        <v>47</v>
      </c>
      <c r="C31" s="54">
        <f>IFERROR(IRR(C10:N10),"n/m")</f>
        <v>8.2077258606478853E-2</v>
      </c>
    </row>
    <row r="32" spans="1:14" x14ac:dyDescent="0.2">
      <c r="A32" s="13" t="s">
        <v>424</v>
      </c>
      <c r="B32" s="2" t="s">
        <v>53</v>
      </c>
      <c r="C32" s="50">
        <f>SUM(D10:N10)/-C10</f>
        <v>2.0459386342372374</v>
      </c>
    </row>
    <row r="33" spans="1:3" x14ac:dyDescent="0.2">
      <c r="A33" s="13" t="s">
        <v>425</v>
      </c>
      <c r="B33" s="2" t="s">
        <v>44</v>
      </c>
      <c r="C33" s="33">
        <f>IF(ISNUMBER(Lev_IRR_SQ),NPV(Lev_IRR_SQ,D10:N10)+C10,0)</f>
        <v>-8.5681676864624023E-8</v>
      </c>
    </row>
    <row r="34" spans="1:3" x14ac:dyDescent="0.2">
      <c r="A34" s="3" t="s">
        <v>426</v>
      </c>
      <c r="B34" s="2" t="s">
        <v>47</v>
      </c>
      <c r="C34" s="54">
        <f>IFERROR(IRR(C9:N9),"n/m")</f>
        <v>7.4426156888329098E-2</v>
      </c>
    </row>
    <row r="35" spans="1:3" x14ac:dyDescent="0.2">
      <c r="A35" s="3" t="s">
        <v>427</v>
      </c>
      <c r="B35" s="2" t="s">
        <v>47</v>
      </c>
      <c r="C35" s="54">
        <f>IFERROR(IRR(C11:N11),"n/m")</f>
        <v>7.8015474550314545E-2</v>
      </c>
    </row>
    <row r="36" spans="1:3" x14ac:dyDescent="0.2">
      <c r="A36" s="13" t="s">
        <v>428</v>
      </c>
      <c r="B36" s="2" t="s">
        <v>53</v>
      </c>
      <c r="C36" s="50">
        <f>SUM(D11:N11)/-C11</f>
        <v>1.9630917494567097</v>
      </c>
    </row>
    <row r="37" spans="1:3" x14ac:dyDescent="0.2">
      <c r="A37" s="13" t="s">
        <v>429</v>
      </c>
      <c r="B37" s="2" t="s">
        <v>44</v>
      </c>
      <c r="C37" s="33">
        <f>IF(ISNUMBER(Lev_IRR_RF),NPV(Lev_IRR_RF,D11:N11)+C11,0)</f>
        <v>2.9802322387695312E-8</v>
      </c>
    </row>
    <row r="38" spans="1:3" x14ac:dyDescent="0.2">
      <c r="A38" s="13" t="s">
        <v>430</v>
      </c>
      <c r="B38" s="2" t="s">
        <v>47</v>
      </c>
      <c r="C38" s="18">
        <f>Operating!D37/Price</f>
        <v>5.5582121431781463E-2</v>
      </c>
    </row>
    <row r="39" spans="1:3" x14ac:dyDescent="0.2">
      <c r="A39" s="13" t="s">
        <v>45</v>
      </c>
      <c r="B39" s="2" t="s">
        <v>44</v>
      </c>
      <c r="C39" s="32">
        <f>Price/Units</f>
        <v>313333.33333333331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3"/>
  <sheetViews>
    <sheetView showGridLines="0" workbookViewId="0"/>
  </sheetViews>
  <sheetFormatPr baseColWidth="10" defaultColWidth="8.83203125" defaultRowHeight="15" x14ac:dyDescent="0.2"/>
  <cols>
    <col min="1" max="1" width="44" customWidth="1"/>
    <col min="2" max="2" width="14" customWidth="1"/>
    <col min="3" max="3" width="15" customWidth="1"/>
    <col min="4" max="14" width="13" customWidth="1"/>
  </cols>
  <sheetData>
    <row r="1" spans="1:14" ht="18" x14ac:dyDescent="0.2">
      <c r="A1" s="11" t="s">
        <v>431</v>
      </c>
    </row>
    <row r="2" spans="1:14" x14ac:dyDescent="0.2">
      <c r="A2" s="2" t="s">
        <v>432</v>
      </c>
    </row>
    <row r="4" spans="1:14" x14ac:dyDescent="0.2">
      <c r="A4" s="30" t="s">
        <v>433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</row>
    <row r="5" spans="1:14" x14ac:dyDescent="0.2">
      <c r="A5" s="13" t="s">
        <v>178</v>
      </c>
      <c r="B5" s="2" t="s">
        <v>44</v>
      </c>
      <c r="C5" s="32">
        <f>HP_Capex_Per_Unit*Units</f>
        <v>1500000</v>
      </c>
    </row>
    <row r="6" spans="1:14" x14ac:dyDescent="0.2">
      <c r="A6" s="13" t="s">
        <v>180</v>
      </c>
      <c r="B6" s="2" t="s">
        <v>44</v>
      </c>
      <c r="C6" s="32">
        <f>Envelope_Capex_Per_SF*GFA</f>
        <v>225000</v>
      </c>
    </row>
    <row r="7" spans="1:14" x14ac:dyDescent="0.2">
      <c r="A7" s="13" t="s">
        <v>182</v>
      </c>
      <c r="B7" s="2" t="s">
        <v>44</v>
      </c>
      <c r="C7" s="32">
        <f>LED_Capex_Per_Unit*Units</f>
        <v>45000</v>
      </c>
    </row>
    <row r="8" spans="1:14" x14ac:dyDescent="0.2">
      <c r="A8" s="13" t="s">
        <v>434</v>
      </c>
      <c r="B8" s="2" t="s">
        <v>44</v>
      </c>
      <c r="C8" s="32">
        <f>Solar_kWdc*Solar_Capex_Per_W*W_per_kW</f>
        <v>320400</v>
      </c>
    </row>
    <row r="9" spans="1:14" x14ac:dyDescent="0.2">
      <c r="A9" s="3" t="s">
        <v>435</v>
      </c>
      <c r="B9" s="2" t="s">
        <v>44</v>
      </c>
      <c r="C9" s="45">
        <f>HP_Capex+Envelope_Capex+LED_Capex+Solar_Capex</f>
        <v>2090400</v>
      </c>
    </row>
    <row r="10" spans="1:14" x14ac:dyDescent="0.2">
      <c r="A10" s="13" t="s">
        <v>436</v>
      </c>
      <c r="B10" s="2" t="s">
        <v>44</v>
      </c>
      <c r="C10" s="32">
        <f>Solar_ITC*Solar_Capex</f>
        <v>96120</v>
      </c>
    </row>
    <row r="11" spans="1:14" x14ac:dyDescent="0.2">
      <c r="A11" s="3" t="s">
        <v>63</v>
      </c>
      <c r="B11" s="2" t="s">
        <v>44</v>
      </c>
      <c r="C11" s="45">
        <f>Retrofit_Gross-Solar_ITC_Amt</f>
        <v>1994280</v>
      </c>
    </row>
    <row r="13" spans="1:14" x14ac:dyDescent="0.2">
      <c r="A13" s="30" t="s">
        <v>437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</row>
    <row r="14" spans="1:14" x14ac:dyDescent="0.2">
      <c r="A14" s="13" t="s">
        <v>64</v>
      </c>
      <c r="B14" s="2" t="s">
        <v>44</v>
      </c>
      <c r="C14" s="32">
        <f>Operating!D29+Operating!D30-Operating!D31-Operating!D32</f>
        <v>48309.585205902171</v>
      </c>
    </row>
    <row r="15" spans="1:14" x14ac:dyDescent="0.2">
      <c r="A15" s="13" t="s">
        <v>438</v>
      </c>
      <c r="B15" s="2" t="s">
        <v>66</v>
      </c>
      <c r="C15" s="34">
        <f>Retrofit_Net/Utility_Savings_Y1</f>
        <v>41.28124866939141</v>
      </c>
    </row>
    <row r="16" spans="1:14" x14ac:dyDescent="0.2">
      <c r="A16" s="13" t="s">
        <v>439</v>
      </c>
      <c r="B16" s="2" t="s">
        <v>66</v>
      </c>
      <c r="C16" s="34">
        <f>(Retrofit_Net-Boiler_Replace_Cost)/Utility_Savings_Y1</f>
        <v>31.966327042926654</v>
      </c>
    </row>
    <row r="17" spans="1:14" x14ac:dyDescent="0.2">
      <c r="A17" s="13" t="s">
        <v>440</v>
      </c>
      <c r="B17" s="2" t="s">
        <v>44</v>
      </c>
      <c r="C17" s="32">
        <f>Exit_Value_RF-Exit_Value_SQ</f>
        <v>1075484.4062367454</v>
      </c>
    </row>
    <row r="18" spans="1:14" x14ac:dyDescent="0.2">
      <c r="A18" s="13" t="s">
        <v>441</v>
      </c>
      <c r="B18" s="2" t="s">
        <v>47</v>
      </c>
      <c r="C18" s="18">
        <f>Lev_IRR_RF-Lev_IRR_SQ</f>
        <v>-4.0617840561643082E-3</v>
      </c>
    </row>
    <row r="19" spans="1:14" x14ac:dyDescent="0.2">
      <c r="A19" s="13" t="s">
        <v>442</v>
      </c>
      <c r="B19" s="2" t="s">
        <v>68</v>
      </c>
      <c r="C19" s="32">
        <f>Retrofit_Net/(tCO2e_Avoided*Measure_Life)</f>
        <v>469.4328696468653</v>
      </c>
    </row>
    <row r="21" spans="1:14" x14ac:dyDescent="0.2">
      <c r="A21" s="30" t="s">
        <v>443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</row>
    <row r="22" spans="1:14" x14ac:dyDescent="0.2">
      <c r="A22" s="13" t="s">
        <v>444</v>
      </c>
      <c r="B22" s="2" t="s">
        <v>445</v>
      </c>
      <c r="C22" s="46" t="b">
        <f>EUI_Reduction&gt;=BEPS_EUI_Cut</f>
        <v>1</v>
      </c>
    </row>
    <row r="23" spans="1:14" x14ac:dyDescent="0.2">
      <c r="A23" s="13" t="s">
        <v>446</v>
      </c>
      <c r="B23" s="2" t="s">
        <v>44</v>
      </c>
      <c r="C23" s="32">
        <f>MIN(BEPS_Penalty_Per_SF*GFA,BEPS_Penalty_Cap)</f>
        <v>1500000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54"/>
  <sheetViews>
    <sheetView showGridLines="0" workbookViewId="0"/>
  </sheetViews>
  <sheetFormatPr baseColWidth="10" defaultColWidth="8.83203125" defaultRowHeight="15" x14ac:dyDescent="0.2"/>
  <cols>
    <col min="1" max="1" width="46" customWidth="1"/>
    <col min="2" max="4" width="18" customWidth="1"/>
    <col min="5" max="5" width="30" customWidth="1"/>
  </cols>
  <sheetData>
    <row r="1" spans="1:2" x14ac:dyDescent="0.2">
      <c r="A1" s="3" t="s">
        <v>447</v>
      </c>
    </row>
    <row r="2" spans="1:2" x14ac:dyDescent="0.2">
      <c r="A2" s="2" t="s">
        <v>448</v>
      </c>
    </row>
    <row r="4" spans="1:2" x14ac:dyDescent="0.2">
      <c r="A4" s="3" t="s">
        <v>449</v>
      </c>
      <c r="B4" t="str">
        <f>CHOOSE(Case_Select,"Base","Downside","Severe")</f>
        <v>Base</v>
      </c>
    </row>
    <row r="5" spans="1:2" x14ac:dyDescent="0.2">
      <c r="A5" t="s">
        <v>48</v>
      </c>
      <c r="B5" s="5">
        <f>Loan</f>
        <v>25961675.341779821</v>
      </c>
    </row>
    <row r="6" spans="1:2" x14ac:dyDescent="0.2">
      <c r="A6" t="s">
        <v>450</v>
      </c>
      <c r="B6" s="9">
        <f>Min_DSCR_SQ</f>
        <v>1.3258330009239452</v>
      </c>
    </row>
    <row r="7" spans="1:2" x14ac:dyDescent="0.2">
      <c r="A7" t="s">
        <v>451</v>
      </c>
      <c r="B7" s="9">
        <f>Min_DSCR_RF</f>
        <v>1.350544798131772</v>
      </c>
    </row>
    <row r="8" spans="1:2" x14ac:dyDescent="0.2">
      <c r="A8" t="s">
        <v>452</v>
      </c>
      <c r="B8" s="6">
        <f>Min_DY_SQ</f>
        <v>0.10062369523162817</v>
      </c>
    </row>
    <row r="9" spans="1:2" x14ac:dyDescent="0.2">
      <c r="A9" t="s">
        <v>453</v>
      </c>
      <c r="B9" s="55">
        <f>Trap_Years_SQ</f>
        <v>0</v>
      </c>
    </row>
    <row r="10" spans="1:2" x14ac:dyDescent="0.2">
      <c r="A10" t="s">
        <v>454</v>
      </c>
      <c r="B10" s="6">
        <f>Lev_IRR_SQ</f>
        <v>8.2077258606478853E-2</v>
      </c>
    </row>
    <row r="11" spans="1:2" x14ac:dyDescent="0.2">
      <c r="A11" t="s">
        <v>455</v>
      </c>
      <c r="B11" s="6">
        <f>Lev_IRR_RF</f>
        <v>7.8015474550314545E-2</v>
      </c>
    </row>
    <row r="12" spans="1:2" x14ac:dyDescent="0.2">
      <c r="A12" t="s">
        <v>456</v>
      </c>
      <c r="B12" s="9">
        <f>Equity_Multiple_RF</f>
        <v>1.9630917494567097</v>
      </c>
    </row>
    <row r="13" spans="1:2" x14ac:dyDescent="0.2">
      <c r="A13" t="s">
        <v>457</v>
      </c>
      <c r="B13" s="5">
        <f>Exit_Value_RF</f>
        <v>62067958.312059596</v>
      </c>
    </row>
    <row r="14" spans="1:2" x14ac:dyDescent="0.2">
      <c r="A14" t="s">
        <v>458</v>
      </c>
      <c r="B14" s="10">
        <f>Payback_Years</f>
        <v>41.28124866939141</v>
      </c>
    </row>
    <row r="15" spans="1:2" x14ac:dyDescent="0.2">
      <c r="A15" t="s">
        <v>459</v>
      </c>
      <c r="B15" s="10">
        <f>EUI_RF</f>
        <v>37.094778021978016</v>
      </c>
    </row>
    <row r="17" spans="1:4" x14ac:dyDescent="0.2">
      <c r="A17" s="3" t="s">
        <v>460</v>
      </c>
    </row>
    <row r="18" spans="1:4" x14ac:dyDescent="0.2">
      <c r="A18" s="12" t="s">
        <v>40</v>
      </c>
      <c r="B18" s="12" t="s">
        <v>78</v>
      </c>
      <c r="C18" s="12" t="s">
        <v>79</v>
      </c>
      <c r="D18" s="12" t="s">
        <v>80</v>
      </c>
    </row>
    <row r="19" spans="1:4" x14ac:dyDescent="0.2">
      <c r="A19" t="s">
        <v>48</v>
      </c>
      <c r="B19" s="5">
        <v>25961675.341779791</v>
      </c>
      <c r="C19" s="5">
        <v>25961675.341779791</v>
      </c>
      <c r="D19" s="5">
        <v>25961675.341779791</v>
      </c>
    </row>
    <row r="20" spans="1:4" x14ac:dyDescent="0.2">
      <c r="A20" t="s">
        <v>450</v>
      </c>
      <c r="B20" s="9">
        <v>1.325833000923945</v>
      </c>
      <c r="C20" s="9">
        <v>1.2448958560103001</v>
      </c>
      <c r="D20" s="9">
        <v>1.086103199279475</v>
      </c>
    </row>
    <row r="21" spans="1:4" x14ac:dyDescent="0.2">
      <c r="A21" t="s">
        <v>451</v>
      </c>
      <c r="B21" s="9">
        <v>1.350544798131772</v>
      </c>
      <c r="C21" s="9">
        <v>1.2677330200590089</v>
      </c>
      <c r="D21" s="9">
        <v>1.11473410556798</v>
      </c>
    </row>
    <row r="22" spans="1:4" x14ac:dyDescent="0.2">
      <c r="A22" t="s">
        <v>452</v>
      </c>
      <c r="B22" s="6">
        <v>0.1006236952316283</v>
      </c>
      <c r="C22" s="6">
        <v>9.7648871805047943E-2</v>
      </c>
      <c r="D22" s="6">
        <v>9.2540602376881623E-2</v>
      </c>
    </row>
    <row r="23" spans="1:4" x14ac:dyDescent="0.2">
      <c r="A23" t="s">
        <v>453</v>
      </c>
      <c r="B23" s="55">
        <v>0</v>
      </c>
      <c r="C23" s="55">
        <v>0</v>
      </c>
      <c r="D23" s="55">
        <v>8</v>
      </c>
    </row>
    <row r="24" spans="1:4" x14ac:dyDescent="0.2">
      <c r="A24" t="s">
        <v>454</v>
      </c>
      <c r="B24" s="6">
        <v>8.207725860647852E-2</v>
      </c>
      <c r="C24" s="6">
        <v>2.5819329813083412E-2</v>
      </c>
      <c r="D24" s="6">
        <v>-6.2282158123303233E-2</v>
      </c>
    </row>
    <row r="25" spans="1:4" x14ac:dyDescent="0.2">
      <c r="A25" t="s">
        <v>455</v>
      </c>
      <c r="B25" s="6">
        <v>7.8015474550314656E-2</v>
      </c>
      <c r="C25" s="6">
        <v>2.2347018273949689E-2</v>
      </c>
      <c r="D25" s="6">
        <v>-6.1210458715733218E-2</v>
      </c>
    </row>
    <row r="26" spans="1:4" x14ac:dyDescent="0.2">
      <c r="A26" t="s">
        <v>456</v>
      </c>
      <c r="B26" s="9">
        <v>1.9630917494567111</v>
      </c>
      <c r="C26" s="9">
        <v>1.2181576066553981</v>
      </c>
      <c r="D26" s="9">
        <v>0.57136109577026684</v>
      </c>
    </row>
    <row r="27" spans="1:4" x14ac:dyDescent="0.2">
      <c r="A27" t="s">
        <v>457</v>
      </c>
      <c r="B27" s="5">
        <v>62067958.312059611</v>
      </c>
      <c r="C27" s="5">
        <v>47211688.696627997</v>
      </c>
      <c r="D27" s="5">
        <v>34575899.583188564</v>
      </c>
    </row>
    <row r="28" spans="1:4" x14ac:dyDescent="0.2">
      <c r="A28" t="s">
        <v>458</v>
      </c>
      <c r="B28" s="10">
        <v>41.28124866939141</v>
      </c>
      <c r="C28" s="10">
        <v>54.110084029735752</v>
      </c>
      <c r="D28" s="10">
        <v>72.396956405454276</v>
      </c>
    </row>
    <row r="29" spans="1:4" x14ac:dyDescent="0.2">
      <c r="A29" t="s">
        <v>459</v>
      </c>
      <c r="B29" s="10">
        <v>37.094778021978023</v>
      </c>
      <c r="C29" s="10">
        <v>37.697555279503113</v>
      </c>
      <c r="D29" s="10">
        <v>38.481165714285723</v>
      </c>
    </row>
    <row r="31" spans="1:4" x14ac:dyDescent="0.2">
      <c r="A31" s="3" t="s">
        <v>461</v>
      </c>
    </row>
    <row r="32" spans="1:4" x14ac:dyDescent="0.2">
      <c r="A32" s="12" t="s">
        <v>462</v>
      </c>
      <c r="B32" s="12" t="s">
        <v>74</v>
      </c>
      <c r="C32" s="12" t="s">
        <v>463</v>
      </c>
    </row>
    <row r="33" spans="1:3" x14ac:dyDescent="0.2">
      <c r="A33" t="s">
        <v>464</v>
      </c>
      <c r="B33" s="6">
        <v>3.6301056035353503E-2</v>
      </c>
      <c r="C33" s="6">
        <v>-4.171441851496116E-2</v>
      </c>
    </row>
    <row r="34" spans="1:3" x14ac:dyDescent="0.2">
      <c r="A34" t="s">
        <v>465</v>
      </c>
      <c r="B34" s="6">
        <v>5.9053351837538133E-2</v>
      </c>
      <c r="C34" s="6">
        <v>-1.896212271277653E-2</v>
      </c>
    </row>
    <row r="35" spans="1:3" x14ac:dyDescent="0.2">
      <c r="A35" t="s">
        <v>466</v>
      </c>
      <c r="B35" s="6">
        <v>6.1690694794377277E-2</v>
      </c>
      <c r="C35" s="6">
        <v>-1.632477975593738E-2</v>
      </c>
    </row>
    <row r="36" spans="1:3" x14ac:dyDescent="0.2">
      <c r="A36" t="s">
        <v>467</v>
      </c>
      <c r="B36" s="6">
        <v>6.5714570520896687E-2</v>
      </c>
      <c r="C36" s="6">
        <v>-1.2300904029417969E-2</v>
      </c>
    </row>
    <row r="37" spans="1:3" x14ac:dyDescent="0.2">
      <c r="A37" t="s">
        <v>468</v>
      </c>
      <c r="B37" s="6">
        <v>7.2407259136060609E-2</v>
      </c>
      <c r="C37" s="6">
        <v>-5.6082154142540466E-3</v>
      </c>
    </row>
    <row r="38" spans="1:3" x14ac:dyDescent="0.2">
      <c r="A38" t="s">
        <v>469</v>
      </c>
      <c r="B38" s="6">
        <v>7.4277008097809127E-2</v>
      </c>
      <c r="C38" s="6">
        <v>-3.7384664525055289E-3</v>
      </c>
    </row>
    <row r="39" spans="1:3" x14ac:dyDescent="0.2">
      <c r="A39" t="s">
        <v>470</v>
      </c>
      <c r="B39" s="6">
        <v>7.707506740665318E-2</v>
      </c>
      <c r="C39" s="6">
        <v>-9.4040714366147582E-4</v>
      </c>
    </row>
    <row r="40" spans="1:3" x14ac:dyDescent="0.2">
      <c r="A40" t="s">
        <v>471</v>
      </c>
      <c r="B40" s="6">
        <v>7.752866170340289E-2</v>
      </c>
      <c r="C40" s="6">
        <v>-4.8681284691176613E-4</v>
      </c>
    </row>
    <row r="42" spans="1:3" x14ac:dyDescent="0.2">
      <c r="A42" s="3" t="s">
        <v>472</v>
      </c>
    </row>
    <row r="43" spans="1:3" x14ac:dyDescent="0.2">
      <c r="A43" s="12" t="s">
        <v>462</v>
      </c>
      <c r="B43" s="12" t="s">
        <v>74</v>
      </c>
      <c r="C43" s="12" t="s">
        <v>463</v>
      </c>
    </row>
    <row r="44" spans="1:3" x14ac:dyDescent="0.2">
      <c r="A44" t="s">
        <v>466</v>
      </c>
      <c r="B44" s="9">
        <v>1.108052745032992</v>
      </c>
      <c r="C44" s="9">
        <v>-0.21778025589095301</v>
      </c>
    </row>
    <row r="45" spans="1:3" x14ac:dyDescent="0.2">
      <c r="A45" t="s">
        <v>465</v>
      </c>
      <c r="B45" s="9">
        <v>1.226101660167491</v>
      </c>
      <c r="C45" s="9">
        <v>-9.9731340756453735E-2</v>
      </c>
    </row>
    <row r="46" spans="1:3" x14ac:dyDescent="0.2">
      <c r="A46" t="s">
        <v>464</v>
      </c>
      <c r="B46" s="9">
        <v>1.2710437477649481</v>
      </c>
      <c r="C46" s="9">
        <v>-5.4789253158997298E-2</v>
      </c>
    </row>
    <row r="47" spans="1:3" x14ac:dyDescent="0.2">
      <c r="A47" t="s">
        <v>468</v>
      </c>
      <c r="B47" s="9">
        <v>1.317745046812564</v>
      </c>
      <c r="C47" s="9">
        <v>-8.0879541113809683E-3</v>
      </c>
    </row>
    <row r="48" spans="1:3" x14ac:dyDescent="0.2">
      <c r="A48" t="s">
        <v>467</v>
      </c>
      <c r="B48" s="9">
        <v>1.325833000923945</v>
      </c>
      <c r="C48" s="9">
        <v>0</v>
      </c>
    </row>
    <row r="49" spans="1:3" x14ac:dyDescent="0.2">
      <c r="A49" t="s">
        <v>469</v>
      </c>
      <c r="B49" s="9">
        <v>1.325833000923945</v>
      </c>
      <c r="C49" s="9">
        <v>0</v>
      </c>
    </row>
    <row r="50" spans="1:3" x14ac:dyDescent="0.2">
      <c r="A50" t="s">
        <v>470</v>
      </c>
      <c r="B50" s="9">
        <v>1.325833000923945</v>
      </c>
      <c r="C50" s="9">
        <v>0</v>
      </c>
    </row>
    <row r="51" spans="1:3" x14ac:dyDescent="0.2">
      <c r="A51" t="s">
        <v>471</v>
      </c>
      <c r="B51" s="9">
        <v>1.325833000923945</v>
      </c>
      <c r="C51" s="9">
        <v>0</v>
      </c>
    </row>
    <row r="53" spans="1:3" x14ac:dyDescent="0.2">
      <c r="A53" s="3" t="s">
        <v>473</v>
      </c>
    </row>
    <row r="54" spans="1:3" x14ac:dyDescent="0.2">
      <c r="A54" t="s">
        <v>474</v>
      </c>
      <c r="B54" s="7">
        <v>0.16322067827977699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6"/>
  <sheetViews>
    <sheetView showGridLines="0" workbookViewId="0"/>
  </sheetViews>
  <sheetFormatPr baseColWidth="10" defaultColWidth="8.83203125" defaultRowHeight="15" x14ac:dyDescent="0.2"/>
  <cols>
    <col min="1" max="1" width="44" customWidth="1"/>
    <col min="2" max="2" width="14" customWidth="1"/>
    <col min="3" max="3" width="15" customWidth="1"/>
    <col min="4" max="14" width="13" customWidth="1"/>
  </cols>
  <sheetData>
    <row r="1" spans="1:3" ht="18" x14ac:dyDescent="0.2">
      <c r="A1" s="11" t="s">
        <v>38</v>
      </c>
    </row>
    <row r="2" spans="1:3" x14ac:dyDescent="0.2">
      <c r="A2" s="2" t="s">
        <v>475</v>
      </c>
    </row>
    <row r="4" spans="1:3" x14ac:dyDescent="0.2">
      <c r="A4" s="13" t="s">
        <v>476</v>
      </c>
      <c r="B4" s="2"/>
      <c r="C4" s="46" t="b">
        <f>ABS(Loan+Equity_SQ-Uses_SQ)&lt;=Tolerance</f>
        <v>1</v>
      </c>
    </row>
    <row r="5" spans="1:3" x14ac:dyDescent="0.2">
      <c r="A5" s="13" t="s">
        <v>477</v>
      </c>
      <c r="B5" s="2"/>
      <c r="C5" s="46" t="b">
        <f>ABS(Loan+Equity_RF-Uses_RF)&lt;=Tolerance</f>
        <v>1</v>
      </c>
    </row>
    <row r="6" spans="1:3" x14ac:dyDescent="0.2">
      <c r="A6" s="13" t="s">
        <v>478</v>
      </c>
      <c r="B6" s="2"/>
      <c r="C6" s="46" t="b">
        <f>OR(Loan_Override&gt;0,AND(Loan&lt;=Max_Loan_LTV+Tolerance,Loan&lt;=Max_Loan_DSCR+Tolerance,Loan&lt;=Max_Loan_DY+Tolerance))</f>
        <v>1</v>
      </c>
    </row>
    <row r="7" spans="1:3" x14ac:dyDescent="0.2">
      <c r="A7" s="13" t="s">
        <v>479</v>
      </c>
      <c r="B7" s="2"/>
      <c r="C7" s="46" t="b">
        <f>MIN(Debt!D26:N26)&gt;=0</f>
        <v>1</v>
      </c>
    </row>
    <row r="8" spans="1:3" x14ac:dyDescent="0.2">
      <c r="A8" s="13" t="s">
        <v>480</v>
      </c>
      <c r="B8" s="2"/>
      <c r="C8" s="46" t="b">
        <f>MAX(Debt!D29:N29)&lt;=Tolerance</f>
        <v>1</v>
      </c>
    </row>
    <row r="9" spans="1:3" x14ac:dyDescent="0.2">
      <c r="A9" s="13" t="s">
        <v>481</v>
      </c>
      <c r="B9" s="2"/>
      <c r="C9" s="46" t="b">
        <f>ABS(Share_Heat_Gas+Share_DHW_Gas+Share_Common_Elec+Share_Tenant_Elec-1)&lt;=Tolerance</f>
        <v>1</v>
      </c>
    </row>
    <row r="10" spans="1:3" x14ac:dyDescent="0.2">
      <c r="A10" s="13" t="s">
        <v>482</v>
      </c>
      <c r="B10" s="2"/>
      <c r="C10" s="46" t="b">
        <f>ABS(Gas_SQ_MMBtu+(Common_kWh+Tenant_kWh)/kWh_per_MMBtu-Site_MMBtu_Base)&lt;=Tolerance</f>
        <v>1</v>
      </c>
    </row>
    <row r="11" spans="1:3" x14ac:dyDescent="0.2">
      <c r="A11" s="13" t="s">
        <v>483</v>
      </c>
      <c r="B11" s="2"/>
      <c r="C11" s="46" t="b">
        <f>Solar_kWh&lt;=Owner_Gross_RF_kWh</f>
        <v>1</v>
      </c>
    </row>
    <row r="12" spans="1:3" x14ac:dyDescent="0.2">
      <c r="A12" s="13" t="s">
        <v>484</v>
      </c>
      <c r="B12" s="2"/>
      <c r="C12" s="46" t="b">
        <f>ABS(Lev_NPV_At_IRR_SQ)&lt;=Tolerance*Equity_SQ</f>
        <v>1</v>
      </c>
    </row>
    <row r="13" spans="1:3" x14ac:dyDescent="0.2">
      <c r="A13" s="13" t="s">
        <v>485</v>
      </c>
      <c r="B13" s="2"/>
      <c r="C13" s="46" t="b">
        <f>ABS(Lev_NPV_At_IRR_RF)&lt;=Tolerance*Equity_RF</f>
        <v>1</v>
      </c>
    </row>
    <row r="14" spans="1:3" x14ac:dyDescent="0.2">
      <c r="A14" s="13" t="s">
        <v>486</v>
      </c>
      <c r="B14" s="2"/>
      <c r="C14" s="46" t="b">
        <f>AND(Hold_Years&gt;=1,Hold_Years&lt;=COUNT(Operating!D4:N4)-1)</f>
        <v>1</v>
      </c>
    </row>
    <row r="16" spans="1:3" x14ac:dyDescent="0.2">
      <c r="A16" s="3" t="s">
        <v>487</v>
      </c>
      <c r="B16" s="2"/>
      <c r="C16" s="56" t="b">
        <f>AND(Check_SU_SQ,Check_SU_RF,Check_Loan_Limits,Check_Balance,Check_Debt_Service,Check_Shares,Check_Energy,Check_Solar,Check_IRR_SQ,Check_IRR_RF,Check_Hold)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251</vt:i4>
      </vt:variant>
    </vt:vector>
  </HeadingPairs>
  <TitlesOfParts>
    <vt:vector size="264" baseType="lpstr">
      <vt:lpstr>Cover</vt:lpstr>
      <vt:lpstr>Summary</vt:lpstr>
      <vt:lpstr>Inputs</vt:lpstr>
      <vt:lpstr>Sources</vt:lpstr>
      <vt:lpstr>RentRoll</vt:lpstr>
      <vt:lpstr>Energy</vt:lpstr>
      <vt:lpstr>Operating</vt:lpstr>
      <vt:lpstr>Debt</vt:lpstr>
      <vt:lpstr>Covenants</vt:lpstr>
      <vt:lpstr>Returns</vt:lpstr>
      <vt:lpstr>Retrofit</vt:lpstr>
      <vt:lpstr>Scenarios</vt:lpstr>
      <vt:lpstr>Checks</vt:lpstr>
      <vt:lpstr>Admin_Per_Unit</vt:lpstr>
      <vt:lpstr>All_Checks</vt:lpstr>
      <vt:lpstr>Amort_Months</vt:lpstr>
      <vt:lpstr>Assessed_Value_Per_Unit</vt:lpstr>
      <vt:lpstr>BEPS_EUI_Cut</vt:lpstr>
      <vt:lpstr>BEPS_Max_Penalty</vt:lpstr>
      <vt:lpstr>BEPS_Met</vt:lpstr>
      <vt:lpstr>BEPS_Penalty_Cap</vt:lpstr>
      <vt:lpstr>BEPS_Penalty_Per_SF</vt:lpstr>
      <vt:lpstr>Binding_Test</vt:lpstr>
      <vt:lpstr>Boiler_Eff</vt:lpstr>
      <vt:lpstr>Boiler_Replace_Cost</vt:lpstr>
      <vt:lpstr>Boiler_Replace_Year</vt:lpstr>
      <vt:lpstr>Case_Select</vt:lpstr>
      <vt:lpstr>Check_Balance</vt:lpstr>
      <vt:lpstr>Check_Debt_Service</vt:lpstr>
      <vt:lpstr>Check_Energy</vt:lpstr>
      <vt:lpstr>Check_Hold</vt:lpstr>
      <vt:lpstr>Check_IRR_RF</vt:lpstr>
      <vt:lpstr>Check_IRR_SQ</vt:lpstr>
      <vt:lpstr>Check_Loan_Limits</vt:lpstr>
      <vt:lpstr>Check_Shares</vt:lpstr>
      <vt:lpstr>Check_Solar</vt:lpstr>
      <vt:lpstr>Check_SU_RF</vt:lpstr>
      <vt:lpstr>Check_SU_SQ</vt:lpstr>
      <vt:lpstr>Closing_Cost_Pct</vt:lpstr>
      <vt:lpstr>Closing_Costs</vt:lpstr>
      <vt:lpstr>Common_kWh</vt:lpstr>
      <vt:lpstr>Common_RF_kWh</vt:lpstr>
      <vt:lpstr>COP_DHW</vt:lpstr>
      <vt:lpstr>COP_Heat</vt:lpstr>
      <vt:lpstr>Cost_Per_tCO2e</vt:lpstr>
      <vt:lpstr>Debt_Constant</vt:lpstr>
      <vt:lpstr>Debt_Option</vt:lpstr>
      <vt:lpstr>DSCR_Default</vt:lpstr>
      <vt:lpstr>DSCR_Sizing</vt:lpstr>
      <vt:lpstr>DSCR_Trap</vt:lpstr>
      <vt:lpstr>DY_Default</vt:lpstr>
      <vt:lpstr>DY_Sizing</vt:lpstr>
      <vt:lpstr>DY_Trap</vt:lpstr>
      <vt:lpstr>Elec_Price</vt:lpstr>
      <vt:lpstr>Envelope_Capex</vt:lpstr>
      <vt:lpstr>Envelope_Capex_Per_SF</vt:lpstr>
      <vt:lpstr>Envelope_Heat_Reduction</vt:lpstr>
      <vt:lpstr>Equity_Multiple_RF</vt:lpstr>
      <vt:lpstr>Equity_Multiple_SQ</vt:lpstr>
      <vt:lpstr>Equity_RF</vt:lpstr>
      <vt:lpstr>Equity_SQ</vt:lpstr>
      <vt:lpstr>EUI_Base</vt:lpstr>
      <vt:lpstr>EUI_Reduction</vt:lpstr>
      <vt:lpstr>EUI_RF</vt:lpstr>
      <vt:lpstr>EUI_RF_Net_Solar</vt:lpstr>
      <vt:lpstr>Exit_Cap</vt:lpstr>
      <vt:lpstr>Exit_Value_RF</vt:lpstr>
      <vt:lpstr>Exit_Value_SQ</vt:lpstr>
      <vt:lpstr>Exit_Value_Uplift</vt:lpstr>
      <vt:lpstr>Expense_Growth</vt:lpstr>
      <vt:lpstr>Fixed_Spread</vt:lpstr>
      <vt:lpstr>Float_Spread</vt:lpstr>
      <vt:lpstr>g_per_kg</vt:lpstr>
      <vt:lpstr>Gas_DHW_MMBtu</vt:lpstr>
      <vt:lpstr>Gas_Heat_MMBtu</vt:lpstr>
      <vt:lpstr>Gas_MMBtu_Per_Mcf</vt:lpstr>
      <vt:lpstr>Gas_Price_Mcf</vt:lpstr>
      <vt:lpstr>Gas_Price_MMBtu</vt:lpstr>
      <vt:lpstr>Gas_Retained_Share</vt:lpstr>
      <vt:lpstr>Gas_RF_MMBtu</vt:lpstr>
      <vt:lpstr>Gas_SQ_MMBtu</vt:lpstr>
      <vt:lpstr>GFA</vt:lpstr>
      <vt:lpstr>Going_In_Cap</vt:lpstr>
      <vt:lpstr>GPR_Y1</vt:lpstr>
      <vt:lpstr>Grid_CO2e_lb_MWh</vt:lpstr>
      <vt:lpstr>Grid_RF_kWh</vt:lpstr>
      <vt:lpstr>Grid_tCO2e_kWh</vt:lpstr>
      <vt:lpstr>GWP_CH4</vt:lpstr>
      <vt:lpstr>GWP_N2O</vt:lpstr>
      <vt:lpstr>Hold_Years</vt:lpstr>
      <vt:lpstr>HP_Capex</vt:lpstr>
      <vt:lpstr>HP_Capex_Per_Unit</vt:lpstr>
      <vt:lpstr>HP_DHW_kWh</vt:lpstr>
      <vt:lpstr>HP_Heat_kWh</vt:lpstr>
      <vt:lpstr>Insurance_Per_Unit</vt:lpstr>
      <vt:lpstr>IO_Years</vt:lpstr>
      <vt:lpstr>kBtu_per_MMBtu</vt:lpstr>
      <vt:lpstr>kg_per_t</vt:lpstr>
      <vt:lpstr>kWh_per_MMBtu</vt:lpstr>
      <vt:lpstr>kWh_per_MWh</vt:lpstr>
      <vt:lpstr>lb_per_t</vt:lpstr>
      <vt:lpstr>LED_Capex</vt:lpstr>
      <vt:lpstr>LED_Capex_Per_Unit</vt:lpstr>
      <vt:lpstr>LED_Savings</vt:lpstr>
      <vt:lpstr>Lev_IRR_Delta</vt:lpstr>
      <vt:lpstr>Lev_IRR_RF</vt:lpstr>
      <vt:lpstr>Lev_IRR_SQ</vt:lpstr>
      <vt:lpstr>Lev_NPV_At_IRR_RF</vt:lpstr>
      <vt:lpstr>Lev_NPV_At_IRR_SQ</vt:lpstr>
      <vt:lpstr>Loan</vt:lpstr>
      <vt:lpstr>Loan_Fee_Pct</vt:lpstr>
      <vt:lpstr>Loan_Fees</vt:lpstr>
      <vt:lpstr>Loan_Override</vt:lpstr>
      <vt:lpstr>LTV</vt:lpstr>
      <vt:lpstr>LTV_Max</vt:lpstr>
      <vt:lpstr>Max_Loan_DSCR</vt:lpstr>
      <vt:lpstr>Max_Loan_DY</vt:lpstr>
      <vt:lpstr>Max_Loan_LTV</vt:lpstr>
      <vt:lpstr>Measure_Life</vt:lpstr>
      <vt:lpstr>Mgmt_Fee_Pct</vt:lpstr>
      <vt:lpstr>Min_DSCR_RF</vt:lpstr>
      <vt:lpstr>Min_DSCR_SQ</vt:lpstr>
      <vt:lpstr>Min_DY_RF</vt:lpstr>
      <vt:lpstr>Min_DY_SQ</vt:lpstr>
      <vt:lpstr>Months</vt:lpstr>
      <vt:lpstr>Net_Sale_RF</vt:lpstr>
      <vt:lpstr>Net_Sale_SQ</vt:lpstr>
      <vt:lpstr>NG_CH4_g_MMBtu</vt:lpstr>
      <vt:lpstr>NG_CO2_kg_MMBtu</vt:lpstr>
      <vt:lpstr>NG_N2O_g_MMBtu</vt:lpstr>
      <vt:lpstr>NG_tCO2e_MMBtu</vt:lpstr>
      <vt:lpstr>NOI_Fwd_RF</vt:lpstr>
      <vt:lpstr>NOI_Fwd_SQ</vt:lpstr>
      <vt:lpstr>NRSF</vt:lpstr>
      <vt:lpstr>Other_Income_Growth</vt:lpstr>
      <vt:lpstr>Other_Income_Per_Unit</vt:lpstr>
      <vt:lpstr>Owner_Gross_RF_kWh</vt:lpstr>
      <vt:lpstr>Owner_tCO2e_RF</vt:lpstr>
      <vt:lpstr>Owner_tCO2e_SQ</vt:lpstr>
      <vt:lpstr>Payback_Net_Boiler_Years</vt:lpstr>
      <vt:lpstr>Payback_Years</vt:lpstr>
      <vt:lpstr>Payroll_Per_Unit</vt:lpstr>
      <vt:lpstr>Price</vt:lpstr>
      <vt:lpstr>Price_Per_Unit</vt:lpstr>
      <vt:lpstr>R_Admin</vt:lpstr>
      <vt:lpstr>R_Beg_Balance</vt:lpstr>
      <vt:lpstr>R_Boiler_Capex_SQ</vt:lpstr>
      <vt:lpstr>R_Cov_In_Hold</vt:lpstr>
      <vt:lpstr>R_Debt_Service</vt:lpstr>
      <vt:lpstr>R_DS_Check</vt:lpstr>
      <vt:lpstr>R_DSCR_Flag_RF</vt:lpstr>
      <vt:lpstr>R_DSCR_Flag_SQ</vt:lpstr>
      <vt:lpstr>R_DSCR_Headroom_RF</vt:lpstr>
      <vt:lpstr>R_DSCR_Headroom_SQ</vt:lpstr>
      <vt:lpstr>R_DSCR_RF</vt:lpstr>
      <vt:lpstr>R_DSCR_SQ</vt:lpstr>
      <vt:lpstr>R_DY_Flag_RF</vt:lpstr>
      <vt:lpstr>R_DY_Flag_SQ</vt:lpstr>
      <vt:lpstr>R_DY_Headroom_RF</vt:lpstr>
      <vt:lpstr>R_DY_Headroom_SQ</vt:lpstr>
      <vt:lpstr>R_DY_RF</vt:lpstr>
      <vt:lpstr>R_DY_SQ</vt:lpstr>
      <vt:lpstr>R_EGI</vt:lpstr>
      <vt:lpstr>R_Elec_Cost_RF</vt:lpstr>
      <vt:lpstr>R_Elec_Cost_SQ</vt:lpstr>
      <vt:lpstr>R_End_Balance</vt:lpstr>
      <vt:lpstr>R_Exit_Flag</vt:lpstr>
      <vt:lpstr>R_Gas_Cost_RF</vt:lpstr>
      <vt:lpstr>R_Gas_Cost_SQ</vt:lpstr>
      <vt:lpstr>R_GPR</vt:lpstr>
      <vt:lpstr>R_In_Hold</vt:lpstr>
      <vt:lpstr>R_Insurance</vt:lpstr>
      <vt:lpstr>R_Interest</vt:lpstr>
      <vt:lpstr>R_Lev_CF_RF</vt:lpstr>
      <vt:lpstr>R_Lev_CF_SQ</vt:lpstr>
      <vt:lpstr>R_Mgmt_Fee</vt:lpstr>
      <vt:lpstr>R_Monthly_Payment</vt:lpstr>
      <vt:lpstr>R_NCF_RF</vt:lpstr>
      <vt:lpstr>R_NCF_SQ</vt:lpstr>
      <vt:lpstr>R_NOI_RF</vt:lpstr>
      <vt:lpstr>R_NOI_SQ</vt:lpstr>
      <vt:lpstr>R_Opex_RF</vt:lpstr>
      <vt:lpstr>R_Opex_SQ</vt:lpstr>
      <vt:lpstr>R_Other_Income</vt:lpstr>
      <vt:lpstr>R_Payroll</vt:lpstr>
      <vt:lpstr>R_Principal</vt:lpstr>
      <vt:lpstr>R_Rate</vt:lpstr>
      <vt:lpstr>R_Repairs</vt:lpstr>
      <vt:lpstr>R_Reserves</vt:lpstr>
      <vt:lpstr>R_Shared_Opex</vt:lpstr>
      <vt:lpstr>R_Taxes</vt:lpstr>
      <vt:lpstr>R_Unlev_CF_RF</vt:lpstr>
      <vt:lpstr>R_Unlev_CF_SQ</vt:lpstr>
      <vt:lpstr>R_Vacancy</vt:lpstr>
      <vt:lpstr>R_Water_Sewer</vt:lpstr>
      <vt:lpstr>Rate_Fixed</vt:lpstr>
      <vt:lpstr>Rate_Float</vt:lpstr>
      <vt:lpstr>Rent_1BR</vt:lpstr>
      <vt:lpstr>Rent_2BR</vt:lpstr>
      <vt:lpstr>Rent_3BR</vt:lpstr>
      <vt:lpstr>Rent_Growth</vt:lpstr>
      <vt:lpstr>Rent_Studio</vt:lpstr>
      <vt:lpstr>Repairs_Per_Unit</vt:lpstr>
      <vt:lpstr>Reserve_Per_Unit</vt:lpstr>
      <vt:lpstr>Retrofit_Gross</vt:lpstr>
      <vt:lpstr>Retrofit_Net</vt:lpstr>
      <vt:lpstr>Sale_Cost_Pct</vt:lpstr>
      <vt:lpstr>Scope1_RF</vt:lpstr>
      <vt:lpstr>Scope1_SQ</vt:lpstr>
      <vt:lpstr>Scope2_RF</vt:lpstr>
      <vt:lpstr>Scope2_SQ</vt:lpstr>
      <vt:lpstr>SF_1BR</vt:lpstr>
      <vt:lpstr>SF_2BR</vt:lpstr>
      <vt:lpstr>SF_3BR</vt:lpstr>
      <vt:lpstr>SF_Studio</vt:lpstr>
      <vt:lpstr>Share_Common_Elec</vt:lpstr>
      <vt:lpstr>Share_DHW_Gas</vt:lpstr>
      <vt:lpstr>Share_Heat_Gas</vt:lpstr>
      <vt:lpstr>Share_Tenant_Elec</vt:lpstr>
      <vt:lpstr>Site_EUI_Base</vt:lpstr>
      <vt:lpstr>Site_MMBtu_Base</vt:lpstr>
      <vt:lpstr>Snap_Equity_Multiple_RF</vt:lpstr>
      <vt:lpstr>Snap_EUI_RF</vt:lpstr>
      <vt:lpstr>Snap_Exit_Value_RF</vt:lpstr>
      <vt:lpstr>Snap_Lev_IRR_RF</vt:lpstr>
      <vt:lpstr>Snap_Lev_IRR_SQ</vt:lpstr>
      <vt:lpstr>Snap_Loan</vt:lpstr>
      <vt:lpstr>Snap_Min_DSCR_RF</vt:lpstr>
      <vt:lpstr>Snap_Min_DSCR_SQ</vt:lpstr>
      <vt:lpstr>Snap_Min_DY_SQ</vt:lpstr>
      <vt:lpstr>Snap_Payback_Years</vt:lpstr>
      <vt:lpstr>Snap_Trap_Years_SQ</vt:lpstr>
      <vt:lpstr>SOFR</vt:lpstr>
      <vt:lpstr>SOFR_Shock</vt:lpstr>
      <vt:lpstr>Solar_Capex</vt:lpstr>
      <vt:lpstr>Solar_Capex_Per_W</vt:lpstr>
      <vt:lpstr>Solar_ITC</vt:lpstr>
      <vt:lpstr>Solar_ITC_Amt</vt:lpstr>
      <vt:lpstr>Solar_kWdc</vt:lpstr>
      <vt:lpstr>Solar_kWh</vt:lpstr>
      <vt:lpstr>Solar_Yield</vt:lpstr>
      <vt:lpstr>Tax_Growth</vt:lpstr>
      <vt:lpstr>Tax_Rate</vt:lpstr>
      <vt:lpstr>tCO2e_Avoided</vt:lpstr>
      <vt:lpstr>Tenant_kWh</vt:lpstr>
      <vt:lpstr>Tenant_tCO2e</vt:lpstr>
      <vt:lpstr>Tolerance</vt:lpstr>
      <vt:lpstr>Trap_Years_RF</vt:lpstr>
      <vt:lpstr>Trap_Years_SQ</vt:lpstr>
      <vt:lpstr>Units</vt:lpstr>
      <vt:lpstr>Units_1BR</vt:lpstr>
      <vt:lpstr>Units_2BR</vt:lpstr>
      <vt:lpstr>Units_3BR</vt:lpstr>
      <vt:lpstr>Units_Studio</vt:lpstr>
      <vt:lpstr>Unlev_IRR_RF</vt:lpstr>
      <vt:lpstr>Unlev_IRR_SQ</vt:lpstr>
      <vt:lpstr>Uses_RF</vt:lpstr>
      <vt:lpstr>Uses_SQ</vt:lpstr>
      <vt:lpstr>UST_10Y</vt:lpstr>
      <vt:lpstr>Utility_Price_Growth</vt:lpstr>
      <vt:lpstr>Utility_Savings_Y1</vt:lpstr>
      <vt:lpstr>Vacancy_Rate</vt:lpstr>
      <vt:lpstr>W_per_kW</vt:lpstr>
      <vt:lpstr>Water_Sewer_Per_Unit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 Patel</cp:lastModifiedBy>
  <dcterms:created xsi:type="dcterms:W3CDTF">2026-10-15T22:17:26Z</dcterms:created>
  <dcterms:modified xsi:type="dcterms:W3CDTF">2026-10-15T22:17:32Z</dcterms:modified>
</cp:coreProperties>
</file>